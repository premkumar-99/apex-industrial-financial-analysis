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over" sheetId="1" state="visible" r:id="rId3"/>
    <sheet name="Executive Summary" sheetId="2" state="visible" r:id="rId4"/>
    <sheet name="Raw Data" sheetId="3" state="visible" r:id="rId5"/>
    <sheet name="Income Statement" sheetId="4" state="visible" r:id="rId6"/>
    <sheet name="Balance Sheet" sheetId="5" state="visible" r:id="rId7"/>
    <sheet name="Cash Flow" sheetId="6" state="visible" r:id="rId8"/>
    <sheet name="Ratios" sheetId="7" state="visible" r:id="rId9"/>
    <sheet name="Revenue Analysis" sheetId="8" state="visible" r:id="rId10"/>
    <sheet name="Working Capital" sheetId="9" state="visible" r:id="rId11"/>
    <sheet name="Forecast" sheetId="10" state="visible" r:id="rId12"/>
    <sheet name="Scenario Analysis" sheetId="11" state="visible" r:id="rId13"/>
    <sheet name="DCF" sheetId="12" state="visible" r:id="rId14"/>
    <sheet name="Dashboard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<sst xmlns="http://schemas.openxmlformats.org/spreadsheetml/2006/main" count="309" uniqueCount="225">
  <si>
    <t xml:space="preserve">APEX INDUSTRIAL TECHNOLOGIES LTD.</t>
  </si>
  <si>
    <t xml:space="preserve">Financial Analysis, Forecasting &amp; Valuation</t>
  </si>
  <si>
    <t xml:space="preserve">Portfolio project | Historical FY2021–FY2026 | Forecast FY2027–FY2029</t>
  </si>
  <si>
    <t xml:space="preserve">Purpose</t>
  </si>
  <si>
    <t xml:space="preserve">Build an analyst-grade model covering financial statements, ratios, working capital, forecasting, Bull/Base/Bear scenarios, DCF valuation with a CAPM-based WACC build and sensitivity analysis.</t>
  </si>
  <si>
    <t xml:space="preserve">Workbook guide</t>
  </si>
  <si>
    <t xml:space="preserve">Executive Summary</t>
  </si>
  <si>
    <t xml:space="preserve">Investment thesis, KPI snapshot and DCF-based valuation rating</t>
  </si>
  <si>
    <t xml:space="preserve">Raw Data</t>
  </si>
  <si>
    <t xml:space="preserve">Historical operating, segment, geography and cash-flow inputs</t>
  </si>
  <si>
    <t xml:space="preserve">Income Statement</t>
  </si>
  <si>
    <t xml:space="preserve">Historical P&amp;L with calculated profitability</t>
  </si>
  <si>
    <t xml:space="preserve">Balance Sheet</t>
  </si>
  <si>
    <t xml:space="preserve">Historical balance sheet with assets, liabilities and equity</t>
  </si>
  <si>
    <t xml:space="preserve">Cash Flow</t>
  </si>
  <si>
    <t xml:space="preserve">FCF bridge and cash-flow analysis</t>
  </si>
  <si>
    <t xml:space="preserve">Ratios</t>
  </si>
  <si>
    <t xml:space="preserve">Growth, margins, liquidity, leverage and returns</t>
  </si>
  <si>
    <t xml:space="preserve">Revenue Analysis</t>
  </si>
  <si>
    <t xml:space="preserve">Segment and geographic revenue mix</t>
  </si>
  <si>
    <t xml:space="preserve">Working Capital</t>
  </si>
  <si>
    <t xml:space="preserve">DSO, DIO, DPO and cash conversion cycle</t>
  </si>
  <si>
    <t xml:space="preserve">Forecast</t>
  </si>
  <si>
    <t xml:space="preserve">FY2027–FY2029 base-case forecast</t>
  </si>
  <si>
    <t xml:space="preserve">Scenario Analysis</t>
  </si>
  <si>
    <t xml:space="preserve">Bull / Base / Bear case comparison with scenario-level DCF valuation</t>
  </si>
  <si>
    <t xml:space="preserve">DCF</t>
  </si>
  <si>
    <t xml:space="preserve">Free cash flow valuation, CAPM WACC build-up and sensitivity grid</t>
  </si>
  <si>
    <t xml:space="preserve">Dashboard</t>
  </si>
  <si>
    <t xml:space="preserve">Management-style KPI dashboard</t>
  </si>
  <si>
    <t xml:space="preserve">Apex Industrial Technologies Ltd. — Illustrative Portfolio Model (Fictional Company)</t>
  </si>
  <si>
    <t xml:space="preserve">Investment Snapshot — FY2026 Actual vs. FY2029E (Base Case)</t>
  </si>
  <si>
    <t xml:space="preserve">Metric</t>
  </si>
  <si>
    <t xml:space="preserve">FY2026 (Actual)</t>
  </si>
  <si>
    <t xml:space="preserve">FY2029E (Base)</t>
  </si>
  <si>
    <t xml:space="preserve">CAGR / Δ (pts)</t>
  </si>
  <si>
    <t xml:space="preserve">Revenue (₹ crore)</t>
  </si>
  <si>
    <t xml:space="preserve">EBITDA (₹ crore)</t>
  </si>
  <si>
    <t xml:space="preserve">EBITDA Margin</t>
  </si>
  <si>
    <t xml:space="preserve">Net Profit (₹ crore)</t>
  </si>
  <si>
    <t xml:space="preserve">Net Profit Margin</t>
  </si>
  <si>
    <t xml:space="preserve">Free Cash Flow (₹ crore)</t>
  </si>
  <si>
    <t xml:space="preserve">Return on Equity (ROE)</t>
  </si>
  <si>
    <t xml:space="preserve">Debt / EBITDA</t>
  </si>
  <si>
    <t xml:space="preserve">Cash Conversion Cycle (days)</t>
  </si>
  <si>
    <t xml:space="preserve">Investment Thesis</t>
  </si>
  <si>
    <t xml:space="preserve">• Consistent double-digit growth: revenue compounded at a 13.2% CAGR from ₹420 cr (FY21) to ₹780 cr (FY26), led by the Industrial Automation and Motion Control segments.</t>
  </si>
  <si>
    <t xml:space="preserve">• Margin expansion: EBITDA margin improved from 15.5% (FY21) to 19.2% (FY26) as operating leverage built through the revenue base.</t>
  </si>
  <si>
    <t xml:space="preserve">• Deleveraging balance sheet: Debt/EBITDA fell from 2.08x to 1.31x and Debt/Equity from 0.87x to 0.61x over FY21–FY26, widening headroom for growth capex.</t>
  </si>
  <si>
    <t xml:space="preserve">• Strong cash conversion: Free Cash Flow grew from ₹37 cr to ₹89 cr (FY21–FY26), funding capex and debt paydown without external financing.</t>
  </si>
  <si>
    <t xml:space="preserve">• Diversified base: revenue is split across 3 product segments and 4 geographies, with India as the core market (~72% of FY26 revenue) and export markets providing incremental growth optionality.</t>
  </si>
  <si>
    <t xml:space="preserve">Key Risks &amp; Watch Items</t>
  </si>
  <si>
    <t xml:space="preserve">• Working capital intensity: Cash Conversion Cycle of ~85 days (FY26) ties up cash as the business scales — DIO in particular has drifted up ~5 days since FY21.</t>
  </si>
  <si>
    <t xml:space="preserve">• Customer/capex cyclicality: revenue is tied to industrial capex cycles; a slowdown in manufacturing investment could compress order intake and growth.</t>
  </si>
  <si>
    <t xml:space="preserve">• Margin assumptions in the forecast (COGS ~62–63% of revenue) assume continued procurement efficiency; input-cost inflation is a downside risk.</t>
  </si>
  <si>
    <t xml:space="preserve">• Valuation is sensitive to WACC and terminal growth — see the DCF sensitivity grid for a ±1pt range on both.</t>
  </si>
  <si>
    <t xml:space="preserve">Valuation Summary &amp; Illustrative Rating</t>
  </si>
  <si>
    <t xml:space="preserve">DCF Implied Value / Share — Base Case (₹)</t>
  </si>
  <si>
    <t xml:space="preserve">DCF Implied Value / Share — Bear Case (₹)</t>
  </si>
  <si>
    <t xml:space="preserve">DCF Implied Value / Share — Bull Case (₹)</t>
  </si>
  <si>
    <t xml:space="preserve">Illustrative Current Market Price (₹)</t>
  </si>
  <si>
    <t xml:space="preserve">Upside / (Downside) to Base Case</t>
  </si>
  <si>
    <t xml:space="preserve">Illustrative Rating</t>
  </si>
  <si>
    <t xml:space="preserve">Illustrative only — this is a self-directed portfolio project on a fictional company. The market price and rating are for demonstration and are not investment advice.</t>
  </si>
  <si>
    <t xml:space="preserve">Historical Input Data (₹ crore)</t>
  </si>
  <si>
    <t xml:space="preserve">Income Statement Inputs</t>
  </si>
  <si>
    <t xml:space="preserve">FY</t>
  </si>
  <si>
    <t xml:space="preserve">Revenue</t>
  </si>
  <si>
    <t xml:space="preserve">COGS</t>
  </si>
  <si>
    <t xml:space="preserve">Operating Expenses</t>
  </si>
  <si>
    <t xml:space="preserve">Depreciation</t>
  </si>
  <si>
    <t xml:space="preserve">Interest Expense</t>
  </si>
  <si>
    <t xml:space="preserve">Tax</t>
  </si>
  <si>
    <t xml:space="preserve">Balance Sheet Inputs</t>
  </si>
  <si>
    <t xml:space="preserve">Cash &amp; Equivalents</t>
  </si>
  <si>
    <t xml:space="preserve">Accounts Receivable</t>
  </si>
  <si>
    <t xml:space="preserve">Inventory</t>
  </si>
  <si>
    <t xml:space="preserve">Other Current Assets</t>
  </si>
  <si>
    <t xml:space="preserve">Net PPE</t>
  </si>
  <si>
    <t xml:space="preserve">Other Non-current Assets</t>
  </si>
  <si>
    <t xml:space="preserve">Accounts Payable</t>
  </si>
  <si>
    <t xml:space="preserve">Other Current Liabilities</t>
  </si>
  <si>
    <t xml:space="preserve">Short-term Debt</t>
  </si>
  <si>
    <t xml:space="preserve">Long-term Debt</t>
  </si>
  <si>
    <t xml:space="preserve">Other Non-current Liabilities</t>
  </si>
  <si>
    <t xml:space="preserve">Revenue by Segment</t>
  </si>
  <si>
    <t xml:space="preserve">Industrial Automation</t>
  </si>
  <si>
    <t xml:space="preserve">Motion Control</t>
  </si>
  <si>
    <t xml:space="preserve">Service &amp; Spares</t>
  </si>
  <si>
    <t xml:space="preserve">Revenue by Geography</t>
  </si>
  <si>
    <t xml:space="preserve">India</t>
  </si>
  <si>
    <t xml:space="preserve">Middle East</t>
  </si>
  <si>
    <t xml:space="preserve">Southeast Asia</t>
  </si>
  <si>
    <t xml:space="preserve">Europe</t>
  </si>
  <si>
    <t xml:space="preserve">Cash Flow Inputs</t>
  </si>
  <si>
    <t xml:space="preserve">Capex</t>
  </si>
  <si>
    <t xml:space="preserve">Change in Working Capital</t>
  </si>
  <si>
    <t xml:space="preserve">Other Operating Cash Flow</t>
  </si>
  <si>
    <t xml:space="preserve">Debt Repayment</t>
  </si>
  <si>
    <t xml:space="preserve">Income Statement &amp; Profitability</t>
  </si>
  <si>
    <t xml:space="preserve">₹ crore</t>
  </si>
  <si>
    <t xml:space="preserve">Gross Profit</t>
  </si>
  <si>
    <t xml:space="preserve">EBITDA</t>
  </si>
  <si>
    <t xml:space="preserve">EBIT</t>
  </si>
  <si>
    <t xml:space="preserve">PBT</t>
  </si>
  <si>
    <t xml:space="preserve">Net Profit</t>
  </si>
  <si>
    <t xml:space="preserve">Gross Margin</t>
  </si>
  <si>
    <t xml:space="preserve">EBIT Margin</t>
  </si>
  <si>
    <t xml:space="preserve">Total Assets</t>
  </si>
  <si>
    <t xml:space="preserve">Total Liabilities</t>
  </si>
  <si>
    <t xml:space="preserve">Equity</t>
  </si>
  <si>
    <t xml:space="preserve">Balance Check</t>
  </si>
  <si>
    <t xml:space="preserve">Net Debt</t>
  </si>
  <si>
    <t xml:space="preserve">Cash Flow &amp; Free Cash Flow</t>
  </si>
  <si>
    <t xml:space="preserve">Operating Cash Flow</t>
  </si>
  <si>
    <t xml:space="preserve">Free Cash Flow</t>
  </si>
  <si>
    <t xml:space="preserve">Cash Flow After Debt</t>
  </si>
  <si>
    <t xml:space="preserve">Financial Ratio Analysis</t>
  </si>
  <si>
    <t xml:space="preserve">Revenue Growth</t>
  </si>
  <si>
    <t xml:space="preserve">Current Ratio</t>
  </si>
  <si>
    <t xml:space="preserve">Debt / Equity</t>
  </si>
  <si>
    <t xml:space="preserve">Interest Coverage</t>
  </si>
  <si>
    <t xml:space="preserve">ROA</t>
  </si>
  <si>
    <t xml:space="preserve">ROE</t>
  </si>
  <si>
    <t xml:space="preserve">FCF Margin</t>
  </si>
  <si>
    <t xml:space="preserve">Total Segment Revenue</t>
  </si>
  <si>
    <t xml:space="preserve">Segment Mix – Automation</t>
  </si>
  <si>
    <t xml:space="preserve">Segment Mix – Motion</t>
  </si>
  <si>
    <t xml:space="preserve">Segment Mix – Service</t>
  </si>
  <si>
    <t xml:space="preserve">Total Geographic Revenue</t>
  </si>
  <si>
    <t xml:space="preserve">Mix – India</t>
  </si>
  <si>
    <t xml:space="preserve">Mix – Middle East</t>
  </si>
  <si>
    <t xml:space="preserve">Mix – Southeast Asia</t>
  </si>
  <si>
    <t xml:space="preserve">Mix – Europe</t>
  </si>
  <si>
    <t xml:space="preserve">Working Capital Analysis</t>
  </si>
  <si>
    <t xml:space="preserve">DSO (days)</t>
  </si>
  <si>
    <t xml:space="preserve">DIO (days)</t>
  </si>
  <si>
    <t xml:space="preserve">DPO (days)</t>
  </si>
  <si>
    <t xml:space="preserve">Cash Conversion Cycle</t>
  </si>
  <si>
    <t xml:space="preserve">Working Capital / Revenue</t>
  </si>
  <si>
    <t xml:space="preserve">Base-Case Forecast (₹ crore)</t>
  </si>
  <si>
    <t xml:space="preserve">Growth</t>
  </si>
  <si>
    <t xml:space="preserve">COGS % Revenue</t>
  </si>
  <si>
    <t xml:space="preserve">Operating Expenses % Revenue</t>
  </si>
  <si>
    <t xml:space="preserve">Depreciation % Revenue</t>
  </si>
  <si>
    <t xml:space="preserve">Tax Rate</t>
  </si>
  <si>
    <t xml:space="preserve">Capex % Revenue</t>
  </si>
  <si>
    <t xml:space="preserve">Change in WC % Revenue</t>
  </si>
  <si>
    <t xml:space="preserve">Forecast assumptions</t>
  </si>
  <si>
    <t xml:space="preserve">OpEx % Revenue</t>
  </si>
  <si>
    <t xml:space="preserve">Scenario Analysis — Bull / Base / Bear Case</t>
  </si>
  <si>
    <t xml:space="preserve">Scenario Deltas vs. Base-Case Forecast (applied uniformly, FY2027–FY2029)</t>
  </si>
  <si>
    <t xml:space="preserve">Bull Case: Revenue Growth Δ (pts)</t>
  </si>
  <si>
    <t xml:space="preserve">Bull Case: COGS % Δ (pts, − = margin gain)</t>
  </si>
  <si>
    <t xml:space="preserve">Bear Case: Revenue Growth Δ (pts)</t>
  </si>
  <si>
    <t xml:space="preserve">Bear Case: COGS % Δ (pts, + = margin pressure)</t>
  </si>
  <si>
    <t xml:space="preserve">All other drivers (OpEx %, Depreciation %, Interest Expense, Tax Rate, Capex %, Change in WC %) held at Base-Case levels in every scenario.</t>
  </si>
  <si>
    <t xml:space="preserve">Base Case  (linked from Forecast tab)</t>
  </si>
  <si>
    <t xml:space="preserve">Bull Case</t>
  </si>
  <si>
    <t xml:space="preserve">Bear Case</t>
  </si>
  <si>
    <t xml:space="preserve">Scenario Valuation Summary — FY2029E (using DCF tab WACC &amp; Terminal Growth)</t>
  </si>
  <si>
    <t xml:space="preserve">Scenario</t>
  </si>
  <si>
    <t xml:space="preserve">FY2029 Revenue</t>
  </si>
  <si>
    <t xml:space="preserve">FY2029 EBITDA</t>
  </si>
  <si>
    <t xml:space="preserve">FY2029 Net Profit</t>
  </si>
  <si>
    <t xml:space="preserve">Net Margin</t>
  </si>
  <si>
    <t xml:space="preserve">Implied Value/Share (₹)</t>
  </si>
  <si>
    <t xml:space="preserve">Δ vs Base</t>
  </si>
  <si>
    <t xml:space="preserve">Bear</t>
  </si>
  <si>
    <t xml:space="preserve">Base</t>
  </si>
  <si>
    <t xml:space="preserve">Bull</t>
  </si>
  <si>
    <t xml:space="preserve">Bull/Bear deltas affect revenue growth and gross-margin trajectory only; all other drivers held at Base-Case levels (see note above).</t>
  </si>
  <si>
    <t xml:space="preserve">DCF Valuation Framework</t>
  </si>
  <si>
    <t xml:space="preserve">Assumptions</t>
  </si>
  <si>
    <t xml:space="preserve">WACC</t>
  </si>
  <si>
    <t xml:space="preserve">Terminal Growth</t>
  </si>
  <si>
    <t xml:space="preserve">Net Debt (latest historical)</t>
  </si>
  <si>
    <t xml:space="preserve">Shares Outstanding (crore)</t>
  </si>
  <si>
    <t xml:space="preserve">Forecast FCF</t>
  </si>
  <si>
    <t xml:space="preserve">FCF</t>
  </si>
  <si>
    <t xml:space="preserve">Discount Factor</t>
  </si>
  <si>
    <t xml:space="preserve">PV of FCF</t>
  </si>
  <si>
    <t xml:space="preserve">Terminal Value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</si>
  <si>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</si>
  <si>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</si>
  <si>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</si>
  <si>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</si>
  <si>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Implied Value / Share</t>
  </si>
  <si>
    <t xml:space="preserve">Cost of Capital Build-Up (CAPM)</t>
  </si>
  <si>
    <t xml:space="preserve">Risk-Free Rate (10Y G-Sec, illustrative)</t>
  </si>
  <si>
    <t xml:space="preserve">Levered Beta (illustrative, industrial peers)</t>
  </si>
  <si>
    <t xml:space="preserve">Equity Risk Premium (illustrative)</t>
  </si>
  <si>
    <t xml:space="preserve">Cost of Equity (Ke = Rf + β × ERP)</t>
  </si>
  <si>
    <t xml:space="preserve">Pre-tax Cost of Debt (Interest Exp. ÷ Total Debt, FY26)</t>
  </si>
  <si>
    <t xml:space="preserve">Effective Tax Rate (Forecast assumption)</t>
  </si>
  <si>
    <t xml:space="preserve">After-tax Cost of Debt</t>
  </si>
  <si>
    <t xml:space="preserve">Equity (Book Value, FY26 — proxy for weights)</t>
  </si>
  <si>
    <t xml:space="preserve">Total Debt (FY2026)</t>
  </si>
  <si>
    <t xml:space="preserve">Weight of Equity</t>
  </si>
  <si>
    <t xml:space="preserve">Weight of Debt</t>
  </si>
  <si>
    <t xml:space="preserve">WACC (Computed)</t>
  </si>
  <si>
    <t xml:space="preserve">Sensitivity Analysis — Implied Value per Share (₹)</t>
  </si>
  <si>
    <t xml:space="preserve">Rows = WACC · Columns = Terminal Growth Rate (± around base case)</t>
  </si>
  <si>
    <t xml:space="preserve">WACC \ Terminal g</t>
  </si>
  <si>
    <t xml:space="preserve">Highlighted cell = base-case WACC and terminal growth assumptions.</t>
  </si>
  <si>
    <t xml:space="preserve">APEX INDUSTRIAL TECHNOLOGIES — ANALYST DASHBOARD</t>
  </si>
  <si>
    <t xml:space="preserve">Key KPIs</t>
  </si>
  <si>
    <t xml:space="preserve">FY2026 Revenue</t>
  </si>
  <si>
    <t xml:space="preserve">FY2026 EBITDA</t>
  </si>
  <si>
    <t xml:space="preserve">FY2026 Net Profit</t>
  </si>
  <si>
    <t xml:space="preserve">FY2026 EBITDA Margin</t>
  </si>
  <si>
    <t xml:space="preserve">FY2026 Net Margin</t>
  </si>
  <si>
    <t xml:space="preserve">FY2026 Debt / Equity</t>
  </si>
  <si>
    <t xml:space="preserve">FY2026 CCC (days)</t>
  </si>
  <si>
    <t xml:space="preserve">DCF Equity Value</t>
  </si>
  <si>
    <t xml:space="preserve">DCF Value / Share — Base (₹)</t>
  </si>
  <si>
    <t xml:space="preserve">DCF Value / Share — Bear / Bull (₹)</t>
  </si>
  <si>
    <t xml:space="preserve">FY2029E Revenue — Base (₹ cr)</t>
  </si>
  <si>
    <t xml:space="preserve">FY2029E EBITDA Margin — Base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</si>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</sst>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"/>
    <numFmt numFmtId="166" formatCode="0.0%"/>
    <numFmt numFmtId="167" formatCode="0.0\x"/>
    <numFmt numFmtId="168" formatCode="0.00\x"/>
    <numFmt numFmtId="169" formatCode="0.000\x"/>
    <numFmt numFmtId="170" formatCode="0.00"/>
    <numFmt numFmtId="171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7365D"/>
      <name val="Cambria"/>
      <family val="1"/>
      <charset val="1"/>
    </font>
    <font>
      <b val="true"/>
      <sz val="15"/>
      <name val="Cambria"/>
      <family val="1"/>
      <charset val="1"/>
    </font>
    <font>
      <b val="true"/>
      <sz val="11"/>
      <color rgb="FF17365D"/>
      <name val="Cambria"/>
      <family val="1"/>
      <charset val="1"/>
    </font>
    <font>
      <b val="true"/>
      <sz val="11"/>
      <name val="Cambria"/>
      <family val="1"/>
      <charset val="1"/>
    </font>
    <font>
      <i val="true"/>
      <sz val="12"/>
      <color rgb="FF595959"/>
      <name val="Cambria"/>
      <family val="0"/>
      <charset val="1"/>
    </font>
    <font>
      <b val="true"/>
      <sz val="11"/>
      <color rgb="FFFFFFFF"/>
      <name val="Cambria"/>
      <family val="1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6"/>
      <color rgb="FF17365D"/>
      <name val="Cambria"/>
      <family val="1"/>
      <charset val="1"/>
    </font>
    <font>
      <b val="true"/>
      <sz val="12"/>
      <color rgb="FF17365D"/>
      <name val="Cambria"/>
      <family val="1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name val="Calibri"/>
      <family val="0"/>
      <charset val="1"/>
    </font>
    <font>
      <b val="true"/>
      <sz val="18"/>
      <color rgb="FF17365D"/>
      <name val="Cambria"/>
      <family val="1"/>
      <charset val="1"/>
    </font>
    <font>
      <b val="true"/>
      <sz val="13"/>
      <color rgb="FF17365D"/>
      <name val="Cambria"/>
      <family val="1"/>
      <charset val="1"/>
    </font>
    <font>
      <b val="true"/>
      <sz val="12"/>
      <name val="Cambria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1F4E79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medium">
        <color rgb="FF17365D"/>
      </left>
      <right style="medium">
        <color rgb="FF17365D"/>
      </right>
      <top style="medium">
        <color rgb="FF17365D"/>
      </top>
      <bottom style="medium">
        <color rgb="FF17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BFBFBF"/>
      <rgbColor rgb="FF666666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BBB59"/>
      <rgbColor rgb="FFFFCC00"/>
      <rgbColor rgb="FFFF9900"/>
      <rgbColor rgb="FFED7D31"/>
      <rgbColor rgb="FF8064A2"/>
      <rgbColor rgb="FFB3B3B3"/>
      <rgbColor rgb="FF17365D"/>
      <rgbColor rgb="FF4F81BD"/>
      <rgbColor rgb="FF003300"/>
      <rgbColor rgb="FF333300"/>
      <rgbColor rgb="FF993300"/>
      <rgbColor rgb="FF993366"/>
      <rgbColor rgb="FF1F4E7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Implied Value / Share by Scenario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'Scenario Analysis'!G41</c:f>
              <c:strCache>
                <c:ptCount val="1"/>
                <c:pt idx="0">
                  <c:v>Implied Value/Share (₹)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Analysis'!$A$42:$A$44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'Scenario Analysis'!$G$42:$G$44</c:f>
              <c:numCache>
                <c:formatCode>0.0</c:formatCode>
                <c:ptCount val="3"/>
                <c:pt idx="0">
                  <c:v>65.2964601390989</c:v>
                </c:pt>
                <c:pt idx="1">
                  <c:v>79.7861215180896</c:v>
                </c:pt>
                <c:pt idx="2">
                  <c:v>95.4250054259121</c:v>
                </c:pt>
              </c:numCache>
            </c:numRef>
          </c:val>
        </c:ser>
        <c:gapWidth val="150"/>
        <c:overlap val="0"/>
        <c:axId val="8435209"/>
        <c:axId val="70743028"/>
      </c:barChart>
      <c:catAx>
        <c:axId val="84352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43028"/>
        <c:crosses val="autoZero"/>
        <c:auto val="1"/>
        <c:lblAlgn val="ctr"/>
        <c:lblOffset val="100"/>
        <c:noMultiLvlLbl val="0"/>
      </c:catAx>
      <c:valAx>
        <c:axId val="707430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52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EBITDA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circle"/>
            <c:size val="6"/>
            <c:spPr>
              <a:solidFill>
                <a:srgbClr val="1f4e79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0</c:f>
              <c:numCache>
                <c:formatCode>0.0</c:formatCode>
                <c:ptCount val="6"/>
                <c:pt idx="0">
                  <c:v>420</c:v>
                </c:pt>
                <c:pt idx="1">
                  <c:v>465</c:v>
                </c:pt>
                <c:pt idx="2">
                  <c:v>520</c:v>
                </c:pt>
                <c:pt idx="3">
                  <c:v>590</c:v>
                </c:pt>
                <c:pt idx="4">
                  <c:v>675</c:v>
                </c:pt>
                <c:pt idx="5">
                  <c:v>780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c0504d"/>
            </a:solidFill>
            <a:ln w="28080">
              <a:solidFill>
                <a:srgbClr val="c0504d"/>
              </a:solidFill>
              <a:round/>
            </a:ln>
          </c:spPr>
          <c:marker>
            <c:symbol val="circle"/>
            <c:size val="6"/>
            <c:spPr>
              <a:solidFill>
                <a:srgbClr val="c0504d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1</c:f>
              <c:numCache>
                <c:formatCode>0.0</c:formatCode>
                <c:ptCount val="6"/>
                <c:pt idx="0">
                  <c:v>65</c:v>
                </c:pt>
                <c:pt idx="1">
                  <c:v>74</c:v>
                </c:pt>
                <c:pt idx="2">
                  <c:v>86</c:v>
                </c:pt>
                <c:pt idx="3">
                  <c:v>106</c:v>
                </c:pt>
                <c:pt idx="4">
                  <c:v>125</c:v>
                </c:pt>
                <c:pt idx="5">
                  <c:v>150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4880213"/>
        <c:axId val="75183416"/>
      </c:lineChart>
      <c:catAx>
        <c:axId val="8488021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83416"/>
        <c:crosses val="autoZero"/>
        <c:auto val="1"/>
        <c:lblAlgn val="ctr"/>
        <c:lblOffset val="100"/>
        <c:noMultiLvlLbl val="0"/>
      </c:catAx>
      <c:valAx>
        <c:axId val="751834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₹ crore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802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Industrial Automation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0</c:f>
              <c:numCache>
                <c:formatCode>0.0</c:formatCode>
                <c:ptCount val="6"/>
                <c:pt idx="0">
                  <c:v>170</c:v>
                </c:pt>
                <c:pt idx="1">
                  <c:v>190</c:v>
                </c:pt>
                <c:pt idx="2">
                  <c:v>214</c:v>
                </c:pt>
                <c:pt idx="3">
                  <c:v>244</c:v>
                </c:pt>
                <c:pt idx="4">
                  <c:v>281</c:v>
                </c:pt>
                <c:pt idx="5">
                  <c:v>327</c:v>
                </c:pt>
              </c:numCache>
            </c:numRef>
          </c:val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Motion Control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1</c:f>
              <c:numCache>
                <c:formatCode>0.0</c:formatCode>
                <c:ptCount val="6"/>
                <c:pt idx="0">
                  <c:v>135</c:v>
                </c:pt>
                <c:pt idx="1">
                  <c:v>149</c:v>
                </c:pt>
                <c:pt idx="2">
                  <c:v>166</c:v>
                </c:pt>
                <c:pt idx="3">
                  <c:v>188</c:v>
                </c:pt>
                <c:pt idx="4">
                  <c:v>215</c:v>
                </c:pt>
                <c:pt idx="5">
                  <c:v>248</c:v>
                </c:pt>
              </c:numCache>
            </c:numRef>
          </c:val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Service &amp; Spares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2</c:f>
              <c:numCache>
                <c:formatCode>0.0</c:formatCode>
                <c:ptCount val="6"/>
                <c:pt idx="0">
                  <c:v>115</c:v>
                </c:pt>
                <c:pt idx="1">
                  <c:v>126</c:v>
                </c:pt>
                <c:pt idx="2">
                  <c:v>140</c:v>
                </c:pt>
                <c:pt idx="3">
                  <c:v>158</c:v>
                </c:pt>
                <c:pt idx="4">
                  <c:v>179</c:v>
                </c:pt>
                <c:pt idx="5">
                  <c:v>205</c:v>
                </c:pt>
              </c:numCache>
            </c:numRef>
          </c:val>
        </c:ser>
        <c:gapWidth val="150"/>
        <c:overlap val="100"/>
        <c:axId val="54044993"/>
        <c:axId val="92499160"/>
      </c:barChart>
      <c:catAx>
        <c:axId val="5404499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99160"/>
        <c:crosses val="autoZero"/>
        <c:auto val="1"/>
        <c:lblAlgn val="ctr"/>
        <c:lblOffset val="100"/>
        <c:noMultiLvlLbl val="0"/>
      </c:catAx>
      <c:valAx>
        <c:axId val="924991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449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Margin Trend (FY2021–FY2026)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label 0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4472c4"/>
            </a:solidFill>
            <a:ln w="28080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0</c:f>
              <c:numCache>
                <c:formatCode>0.0%</c:formatCode>
                <c:ptCount val="6"/>
                <c:pt idx="0">
                  <c:v>0.35</c:v>
                </c:pt>
                <c:pt idx="1">
                  <c:v>0.354838709677419</c:v>
                </c:pt>
                <c:pt idx="2">
                  <c:v>0.359615384615385</c:v>
                </c:pt>
                <c:pt idx="3">
                  <c:v>0.369491525423729</c:v>
                </c:pt>
                <c:pt idx="4">
                  <c:v>0.37037037037037</c:v>
                </c:pt>
                <c:pt idx="5">
                  <c:v>0.374358974358974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label 1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1</c:f>
              <c:numCache>
                <c:formatCode>0.0%</c:formatCode>
                <c:ptCount val="6"/>
                <c:pt idx="0">
                  <c:v>0.154761904761905</c:v>
                </c:pt>
                <c:pt idx="1">
                  <c:v>0.159139784946237</c:v>
                </c:pt>
                <c:pt idx="2">
                  <c:v>0.165384615384615</c:v>
                </c:pt>
                <c:pt idx="3">
                  <c:v>0.179661016949153</c:v>
                </c:pt>
                <c:pt idx="4">
                  <c:v>0.185185185185185</c:v>
                </c:pt>
                <c:pt idx="5">
                  <c:v>0.192307692307692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label 2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rgbClr val="70ad47"/>
            </a:solidFill>
            <a:ln w="28080">
              <a:solidFill>
                <a:srgbClr val="70ad47"/>
              </a:solidFill>
              <a:round/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</c:f>
              <c:strCache>
                <c:ptCount val="6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</c:strCache>
            </c:strRef>
          </c:cat>
          <c:val>
            <c:numRef>
              <c:f>2</c:f>
              <c:numCache>
                <c:formatCode>0.0%</c:formatCode>
                <c:ptCount val="6"/>
                <c:pt idx="0">
                  <c:v>0.0833333333333333</c:v>
                </c:pt>
                <c:pt idx="1">
                  <c:v>0.0860215053763441</c:v>
                </c:pt>
                <c:pt idx="2">
                  <c:v>0.0884615384615385</c:v>
                </c:pt>
                <c:pt idx="3">
                  <c:v>0.101694915254237</c:v>
                </c:pt>
                <c:pt idx="4">
                  <c:v>0.102222222222222</c:v>
                </c:pt>
                <c:pt idx="5">
                  <c:v>0.108974358974359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1383215"/>
        <c:axId val="94100612"/>
      </c:lineChart>
      <c:catAx>
        <c:axId val="213832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00612"/>
        <c:crosses val="autoZero"/>
        <c:auto val="1"/>
        <c:lblAlgn val="ctr"/>
        <c:lblOffset val="100"/>
        <c:noMultiLvlLbl val="0"/>
      </c:catAx>
      <c:valAx>
        <c:axId val="941006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832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FY2026 Revenue by Geography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w="0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'Revenue Analysis'!$A$15:$A$18</c:f>
              <c:strCache>
                <c:ptCount val="4"/>
                <c:pt idx="0">
                  <c:v>India</c:v>
                </c:pt>
                <c:pt idx="1">
                  <c:v>Middle East</c:v>
                </c:pt>
                <c:pt idx="2">
                  <c:v>Southeast Asia</c:v>
                </c:pt>
                <c:pt idx="3">
                  <c:v>Europe</c:v>
                </c:pt>
              </c:strCache>
            </c:strRef>
          </c:cat>
          <c:val>
            <c:numRef>
              <c:f>'Revenue Analysis'!$G$15:$G$18</c:f>
              <c:numCache>
                <c:formatCode>0.0</c:formatCode>
                <c:ptCount val="4"/>
                <c:pt idx="0">
                  <c:v>560</c:v>
                </c:pt>
                <c:pt idx="1">
                  <c:v>98</c:v>
                </c:pt>
                <c:pt idx="2">
                  <c:v>70</c:v>
                </c:pt>
                <c:pt idx="3">
                  <c:v>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Implied Value / Share — Bear / Base / Bull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'Scenario Analysis'!G41</c:f>
              <c:strCache>
                <c:ptCount val="1"/>
                <c:pt idx="0">
                  <c:v>Implied Value/Share (₹)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'Scenario Analysis'!$A$42:$A$44</c:f>
              <c:strCache>
                <c:ptCount val="3"/>
                <c:pt idx="0">
                  <c:v>Bear</c:v>
                </c:pt>
                <c:pt idx="1">
                  <c:v>Base</c:v>
                </c:pt>
                <c:pt idx="2">
                  <c:v>Bull</c:v>
                </c:pt>
              </c:strCache>
            </c:strRef>
          </c:cat>
          <c:val>
            <c:numRef>
              <c:f>'Scenario Analysis'!$G$42:$G$44</c:f>
              <c:numCache>
                <c:formatCode>0.0</c:formatCode>
                <c:ptCount val="3"/>
                <c:pt idx="0">
                  <c:v>65.2964601390989</c:v>
                </c:pt>
                <c:pt idx="1">
                  <c:v>79.7861215180896</c:v>
                </c:pt>
                <c:pt idx="2">
                  <c:v>95.4250054259121</c:v>
                </c:pt>
              </c:numCache>
            </c:numRef>
          </c:val>
        </c:ser>
        <c:gapWidth val="150"/>
        <c:overlap val="0"/>
        <c:axId val="50580038"/>
        <c:axId val="56166521"/>
      </c:barChart>
      <c:catAx>
        <c:axId val="5058003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66521"/>
        <c:crosses val="autoZero"/>
        <c:auto val="1"/>
        <c:lblAlgn val="ctr"/>
        <c:lblOffset val="100"/>
        <c:noMultiLvlLbl val="0"/>
      </c:catAx>
      <c:valAx>
        <c:axId val="561665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800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48</xdr:row>
      <xdr:rowOff>0</xdr:rowOff>
    </xdr:from>
    <xdr:to>
      <xdr:col>2</xdr:col>
      <xdr:colOff>932760</xdr:colOff>
      <xdr:row>63</xdr:row>
      <xdr:rowOff>18720</xdr:rowOff>
    </xdr:to>
    <xdr:graphicFrame>
      <xdr:nvGraphicFramePr>
        <xdr:cNvPr id="0" name="Chart 1"/>
        <xdr:cNvGraphicFramePr/>
      </xdr:nvGraphicFramePr>
      <xdr:xfrm>
        <a:off x="0" y="9391680"/>
        <a:ext cx="4879800" cy="2876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8</xdr:col>
      <xdr:colOff>111960</xdr:colOff>
      <xdr:row>17</xdr:row>
      <xdr:rowOff>720</xdr:rowOff>
    </xdr:to>
    <xdr:graphicFrame>
      <xdr:nvGraphicFramePr>
        <xdr:cNvPr id="1" name="Chart 1"/>
        <xdr:cNvGraphicFramePr/>
      </xdr:nvGraphicFramePr>
      <xdr:xfrm>
        <a:off x="3806280" y="276120"/>
        <a:ext cx="539820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16</xdr:row>
      <xdr:rowOff>0</xdr:rowOff>
    </xdr:from>
    <xdr:to>
      <xdr:col>8</xdr:col>
      <xdr:colOff>111960</xdr:colOff>
      <xdr:row>32</xdr:row>
      <xdr:rowOff>10080</xdr:rowOff>
    </xdr:to>
    <xdr:graphicFrame>
      <xdr:nvGraphicFramePr>
        <xdr:cNvPr id="2" name="Chart 2"/>
        <xdr:cNvGraphicFramePr/>
      </xdr:nvGraphicFramePr>
      <xdr:xfrm>
        <a:off x="3806280" y="3143160"/>
        <a:ext cx="539820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31</xdr:row>
      <xdr:rowOff>0</xdr:rowOff>
    </xdr:from>
    <xdr:to>
      <xdr:col>8</xdr:col>
      <xdr:colOff>111960</xdr:colOff>
      <xdr:row>47</xdr:row>
      <xdr:rowOff>10440</xdr:rowOff>
    </xdr:to>
    <xdr:graphicFrame>
      <xdr:nvGraphicFramePr>
        <xdr:cNvPr id="3" name="Chart 3"/>
        <xdr:cNvGraphicFramePr/>
      </xdr:nvGraphicFramePr>
      <xdr:xfrm>
        <a:off x="3806280" y="6000840"/>
        <a:ext cx="539820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46</xdr:row>
      <xdr:rowOff>0</xdr:rowOff>
    </xdr:from>
    <xdr:to>
      <xdr:col>8</xdr:col>
      <xdr:colOff>111960</xdr:colOff>
      <xdr:row>62</xdr:row>
      <xdr:rowOff>10080</xdr:rowOff>
    </xdr:to>
    <xdr:graphicFrame>
      <xdr:nvGraphicFramePr>
        <xdr:cNvPr id="4" name="Chart 4"/>
        <xdr:cNvGraphicFramePr/>
      </xdr:nvGraphicFramePr>
      <xdr:xfrm>
        <a:off x="3806280" y="8858160"/>
        <a:ext cx="539820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1</xdr:row>
      <xdr:rowOff>0</xdr:rowOff>
    </xdr:from>
    <xdr:to>
      <xdr:col>17</xdr:col>
      <xdr:colOff>511200</xdr:colOff>
      <xdr:row>17</xdr:row>
      <xdr:rowOff>720</xdr:rowOff>
    </xdr:to>
    <xdr:graphicFrame>
      <xdr:nvGraphicFramePr>
        <xdr:cNvPr id="5" name="Chart 5"/>
        <xdr:cNvGraphicFramePr/>
      </xdr:nvGraphicFramePr>
      <xdr:xfrm>
        <a:off x="10149840" y="276120"/>
        <a:ext cx="5398200" cy="305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I5" activeCellId="0" sqref="I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0"/>
  </cols>
  <sheetData>
    <row r="1" customFormat="false" ht="24" hidden="false" customHeight="true" outlineLevel="0" collapsed="false">
      <c r="A1" s="2" t="s">
        <v>0</v>
      </c>
      <c r="B1" s="3"/>
    </row>
    <row r="2" customFormat="false" ht="15" hidden="false" customHeight="true" outlineLevel="0" collapsed="false">
      <c r="A2" s="3"/>
      <c r="B2" s="3"/>
    </row>
    <row r="3" customFormat="false" ht="18" hidden="false" customHeight="true" outlineLevel="0" collapsed="false">
      <c r="A3" s="4" t="s">
        <v>1</v>
      </c>
      <c r="B3" s="3"/>
    </row>
    <row r="4" customFormat="false" ht="15" hidden="false" customHeight="true" outlineLevel="0" collapsed="false">
      <c r="A4" s="3"/>
      <c r="B4" s="3"/>
    </row>
    <row r="5" customFormat="false" ht="15" hidden="false" customHeight="true" outlineLevel="0" collapsed="false">
      <c r="A5" s="3" t="s">
        <v>2</v>
      </c>
      <c r="B5" s="3"/>
    </row>
    <row r="6" customFormat="false" ht="15" hidden="false" customHeight="true" outlineLevel="0" collapsed="false">
      <c r="A6" s="3"/>
      <c r="B6" s="3"/>
    </row>
    <row r="7" customFormat="false" ht="15" hidden="false" customHeight="true" outlineLevel="0" collapsed="false">
      <c r="A7" s="5" t="s">
        <v>3</v>
      </c>
      <c r="B7" s="3"/>
    </row>
    <row r="8" customFormat="false" ht="15" hidden="false" customHeight="true" outlineLevel="0" collapsed="false">
      <c r="A8" s="3" t="s">
        <v>4</v>
      </c>
      <c r="B8" s="3"/>
    </row>
    <row r="9" customFormat="false" ht="15" hidden="false" customHeight="true" outlineLevel="0" collapsed="false">
      <c r="A9" s="3"/>
      <c r="B9" s="3"/>
    </row>
    <row r="10" customFormat="false" ht="15" hidden="false" customHeight="true" outlineLevel="0" collapsed="false">
      <c r="A10" s="5" t="s">
        <v>5</v>
      </c>
      <c r="B10" s="3"/>
    </row>
    <row r="11" customFormat="false" ht="15" hidden="false" customHeight="true" outlineLevel="0" collapsed="false">
      <c r="A11" s="3"/>
      <c r="B11" s="3"/>
    </row>
    <row r="12" customFormat="false" ht="15" hidden="false" customHeight="true" outlineLevel="0" collapsed="false">
      <c r="A12" s="6" t="s">
        <v>6</v>
      </c>
      <c r="B12" s="3" t="s">
        <v>7</v>
      </c>
    </row>
    <row r="13" customFormat="false" ht="15" hidden="false" customHeight="true" outlineLevel="0" collapsed="false">
      <c r="A13" s="6" t="s">
        <v>8</v>
      </c>
      <c r="B13" s="3" t="s">
        <v>9</v>
      </c>
    </row>
    <row r="14" customFormat="false" ht="15" hidden="false" customHeight="true" outlineLevel="0" collapsed="false">
      <c r="A14" s="6" t="s">
        <v>10</v>
      </c>
      <c r="B14" s="3" t="s">
        <v>11</v>
      </c>
    </row>
    <row r="15" customFormat="false" ht="15" hidden="false" customHeight="true" outlineLevel="0" collapsed="false">
      <c r="A15" s="6" t="s">
        <v>12</v>
      </c>
      <c r="B15" s="3" t="s">
        <v>13</v>
      </c>
    </row>
    <row r="16" customFormat="false" ht="15" hidden="false" customHeight="true" outlineLevel="0" collapsed="false">
      <c r="A16" s="6" t="s">
        <v>14</v>
      </c>
      <c r="B16" s="3" t="s">
        <v>15</v>
      </c>
    </row>
    <row r="17" customFormat="false" ht="15" hidden="false" customHeight="true" outlineLevel="0" collapsed="false">
      <c r="A17" s="6" t="s">
        <v>16</v>
      </c>
      <c r="B17" s="3" t="s">
        <v>17</v>
      </c>
    </row>
    <row r="18" customFormat="false" ht="15" hidden="false" customHeight="true" outlineLevel="0" collapsed="false">
      <c r="A18" s="6" t="s">
        <v>18</v>
      </c>
      <c r="B18" s="3" t="s">
        <v>19</v>
      </c>
    </row>
    <row r="19" customFormat="false" ht="15" hidden="false" customHeight="true" outlineLevel="0" collapsed="false">
      <c r="A19" s="6" t="s">
        <v>20</v>
      </c>
      <c r="B19" s="3" t="s">
        <v>21</v>
      </c>
    </row>
    <row r="20" customFormat="false" ht="15" hidden="false" customHeight="true" outlineLevel="0" collapsed="false">
      <c r="A20" s="6" t="s">
        <v>22</v>
      </c>
      <c r="B20" s="3" t="s">
        <v>23</v>
      </c>
    </row>
    <row r="21" customFormat="false" ht="15" hidden="false" customHeight="true" outlineLevel="0" collapsed="false">
      <c r="A21" s="6" t="s">
        <v>24</v>
      </c>
      <c r="B21" s="3" t="s">
        <v>25</v>
      </c>
    </row>
    <row r="22" customFormat="false" ht="15" hidden="false" customHeight="true" outlineLevel="0" collapsed="false">
      <c r="A22" s="7" t="s">
        <v>26</v>
      </c>
      <c r="B22" s="1" t="s">
        <v>27</v>
      </c>
    </row>
    <row r="23" customFormat="false" ht="15" hidden="false" customHeight="true" outlineLevel="0" collapsed="false">
      <c r="A23" s="7" t="s">
        <v>28</v>
      </c>
      <c r="B23" s="1" t="s">
        <v>29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5" min="2" style="1" width="16"/>
  </cols>
  <sheetData>
    <row r="1" customFormat="false" ht="24" hidden="false" customHeight="true" outlineLevel="0" collapsed="false">
      <c r="A1" s="2" t="s">
        <v>6</v>
      </c>
    </row>
    <row r="3" customFormat="false" ht="15" hidden="false" customHeight="true" outlineLevel="0" collapsed="false">
      <c r="A3" s="8" t="s">
        <v>30</v>
      </c>
    </row>
    <row r="5" customFormat="false" ht="15" hidden="false" customHeight="true" outlineLevel="0" collapsed="false">
      <c r="A5" s="5" t="s">
        <v>31</v>
      </c>
    </row>
    <row r="6" customFormat="false" ht="15" hidden="false" customHeight="true" outlineLevel="0" collapsed="false">
      <c r="A6" s="9" t="s">
        <v>32</v>
      </c>
      <c r="B6" s="9" t="s">
        <v>33</v>
      </c>
      <c r="C6" s="9" t="s">
        <v>34</v>
      </c>
      <c r="D6" s="9" t="s">
        <v>35</v>
      </c>
    </row>
    <row r="7" customFormat="false" ht="15" hidden="false" customHeight="true" outlineLevel="0" collapsed="false">
      <c r="A7" s="10" t="s">
        <v>36</v>
      </c>
      <c r="B7" s="11" t="n">
        <f aca="false">'Income Statement'!G4</f>
        <v>780</v>
      </c>
      <c r="C7" s="11" t="n">
        <f aca="false">Forecast!J4</f>
        <v>1010.0376</v>
      </c>
      <c r="D7" s="12" t="n">
        <f aca="false">(C7/B7)^(1/3)-1</f>
        <v>0.089969418102223</v>
      </c>
    </row>
    <row r="8" customFormat="false" ht="15" hidden="false" customHeight="true" outlineLevel="0" collapsed="false">
      <c r="A8" s="10" t="s">
        <v>37</v>
      </c>
      <c r="B8" s="11" t="n">
        <f aca="false">'Income Statement'!G8</f>
        <v>150</v>
      </c>
      <c r="C8" s="11" t="n">
        <f aca="false">Forecast!J9</f>
        <v>211.0978584</v>
      </c>
      <c r="D8" s="12" t="n">
        <f aca="false">(C8/B8)^(1/3)-1</f>
        <v>0.120635018290253</v>
      </c>
    </row>
    <row r="9" customFormat="false" ht="15" hidden="false" customHeight="true" outlineLevel="0" collapsed="false">
      <c r="A9" s="10" t="s">
        <v>38</v>
      </c>
      <c r="B9" s="12" t="n">
        <f aca="false">'Income Statement'!G16</f>
        <v>0.192307692307692</v>
      </c>
      <c r="C9" s="12" t="n">
        <f aca="false">C8/C7</f>
        <v>0.209</v>
      </c>
      <c r="D9" s="12" t="n">
        <f aca="false">C9-B9</f>
        <v>0.0166923076923077</v>
      </c>
    </row>
    <row r="10" customFormat="false" ht="15" hidden="false" customHeight="true" outlineLevel="0" collapsed="false">
      <c r="A10" s="10" t="s">
        <v>39</v>
      </c>
      <c r="B10" s="11" t="n">
        <f aca="false">'Income Statement'!G14</f>
        <v>85</v>
      </c>
      <c r="C10" s="11" t="n">
        <f aca="false">Forecast!J14</f>
        <v>122.1126042</v>
      </c>
      <c r="D10" s="12" t="n">
        <f aca="false">(C10/B10)^(1/3)-1</f>
        <v>0.128358719129833</v>
      </c>
    </row>
    <row r="11" customFormat="false" ht="15" hidden="false" customHeight="true" outlineLevel="0" collapsed="false">
      <c r="A11" s="10" t="s">
        <v>40</v>
      </c>
      <c r="B11" s="12" t="n">
        <f aca="false">'Income Statement'!G18</f>
        <v>0.108974358974359</v>
      </c>
      <c r="C11" s="12" t="n">
        <f aca="false">C10/C7</f>
        <v>0.120899067717875</v>
      </c>
      <c r="D11" s="12" t="n">
        <f aca="false">C11-B11</f>
        <v>0.0119247087435161</v>
      </c>
    </row>
    <row r="12" customFormat="false" ht="15" hidden="false" customHeight="true" outlineLevel="0" collapsed="false">
      <c r="A12" s="10" t="s">
        <v>41</v>
      </c>
      <c r="B12" s="11" t="n">
        <f aca="false">'Cash Flow'!G10</f>
        <v>89</v>
      </c>
      <c r="C12" s="11" t="n">
        <f aca="false">Forecast!J17</f>
        <v>81.7111002</v>
      </c>
      <c r="D12" s="12" t="n">
        <f aca="false">(C12/B12)^(1/3)-1</f>
        <v>-0.0280803772432287</v>
      </c>
    </row>
    <row r="13" customFormat="false" ht="15" hidden="false" customHeight="true" outlineLevel="0" collapsed="false">
      <c r="A13" s="10" t="s">
        <v>42</v>
      </c>
      <c r="B13" s="12" t="n">
        <f aca="false">Ratios!G14</f>
        <v>0.264797507788162</v>
      </c>
      <c r="C13" s="13"/>
      <c r="D13" s="13"/>
    </row>
    <row r="14" customFormat="false" ht="15" hidden="false" customHeight="true" outlineLevel="0" collapsed="false">
      <c r="A14" s="10" t="s">
        <v>43</v>
      </c>
      <c r="B14" s="14" t="n">
        <f aca="false">Ratios!G11</f>
        <v>1.31333333333333</v>
      </c>
      <c r="C14" s="13"/>
      <c r="D14" s="13"/>
    </row>
    <row r="15" customFormat="false" ht="15" hidden="false" customHeight="true" outlineLevel="0" collapsed="false">
      <c r="A15" s="10" t="s">
        <v>44</v>
      </c>
      <c r="B15" s="11" t="n">
        <f aca="false">'Working Capital'!G7</f>
        <v>84.5798129466162</v>
      </c>
      <c r="C15" s="13"/>
      <c r="D15" s="13"/>
    </row>
    <row r="17" customFormat="false" ht="15" hidden="false" customHeight="true" outlineLevel="0" collapsed="false">
      <c r="A17" s="5" t="s">
        <v>45</v>
      </c>
    </row>
    <row r="18" customFormat="false" ht="36" hidden="false" customHeight="true" outlineLevel="0" collapsed="false">
      <c r="A18" s="15" t="s">
        <v>46</v>
      </c>
      <c r="B18" s="15"/>
      <c r="C18" s="15"/>
      <c r="D18" s="15"/>
      <c r="E18" s="15"/>
    </row>
    <row r="19" customFormat="false" ht="36" hidden="false" customHeight="true" outlineLevel="0" collapsed="false">
      <c r="A19" s="15" t="s">
        <v>47</v>
      </c>
      <c r="B19" s="15"/>
      <c r="C19" s="15"/>
      <c r="D19" s="15"/>
      <c r="E19" s="15"/>
    </row>
    <row r="20" customFormat="false" ht="36" hidden="false" customHeight="true" outlineLevel="0" collapsed="false">
      <c r="A20" s="15" t="s">
        <v>48</v>
      </c>
      <c r="B20" s="15"/>
      <c r="C20" s="15"/>
      <c r="D20" s="15"/>
      <c r="E20" s="15"/>
    </row>
    <row r="21" customFormat="false" ht="36" hidden="false" customHeight="true" outlineLevel="0" collapsed="false">
      <c r="A21" s="15" t="s">
        <v>49</v>
      </c>
      <c r="B21" s="15"/>
      <c r="C21" s="15"/>
      <c r="D21" s="15"/>
      <c r="E21" s="15"/>
    </row>
    <row r="22" customFormat="false" ht="51" hidden="false" customHeight="true" outlineLevel="0" collapsed="false">
      <c r="A22" s="15" t="s">
        <v>50</v>
      </c>
      <c r="B22" s="15"/>
      <c r="C22" s="15"/>
      <c r="D22" s="15"/>
      <c r="E22" s="15"/>
    </row>
    <row r="24" customFormat="false" ht="15" hidden="false" customHeight="true" outlineLevel="0" collapsed="false">
      <c r="A24" s="5" t="s">
        <v>51</v>
      </c>
    </row>
    <row r="25" customFormat="false" ht="36" hidden="false" customHeight="true" outlineLevel="0" collapsed="false">
      <c r="A25" s="15" t="s">
        <v>52</v>
      </c>
      <c r="B25" s="15"/>
      <c r="C25" s="15"/>
      <c r="D25" s="15"/>
      <c r="E25" s="15"/>
    </row>
    <row r="26" customFormat="false" ht="36" hidden="false" customHeight="true" outlineLevel="0" collapsed="false">
      <c r="A26" s="15" t="s">
        <v>53</v>
      </c>
      <c r="B26" s="15"/>
      <c r="C26" s="15"/>
      <c r="D26" s="15"/>
      <c r="E26" s="15"/>
    </row>
    <row r="27" customFormat="false" ht="36" hidden="false" customHeight="true" outlineLevel="0" collapsed="false">
      <c r="A27" s="15" t="s">
        <v>54</v>
      </c>
      <c r="B27" s="15"/>
      <c r="C27" s="15"/>
      <c r="D27" s="15"/>
      <c r="E27" s="15"/>
    </row>
    <row r="28" customFormat="false" ht="36" hidden="false" customHeight="true" outlineLevel="0" collapsed="false">
      <c r="A28" s="15" t="s">
        <v>55</v>
      </c>
      <c r="B28" s="15"/>
      <c r="C28" s="15"/>
      <c r="D28" s="15"/>
      <c r="E28" s="15"/>
    </row>
    <row r="30" customFormat="false" ht="15" hidden="false" customHeight="true" outlineLevel="0" collapsed="false">
      <c r="A30" s="5" t="s">
        <v>56</v>
      </c>
    </row>
    <row r="31" customFormat="false" ht="15" hidden="false" customHeight="true" outlineLevel="0" collapsed="false">
      <c r="A31" s="3" t="s">
        <v>57</v>
      </c>
      <c r="B31" s="16" t="n">
        <f aca="false">DCF!B21</f>
        <v>79.7861215180896</v>
      </c>
    </row>
    <row r="32" customFormat="false" ht="15" hidden="false" customHeight="true" outlineLevel="0" collapsed="false">
      <c r="A32" s="3" t="s">
        <v>58</v>
      </c>
      <c r="B32" s="16" t="n">
        <f aca="false">'Scenario Analysis'!G42</f>
        <v>65.2964601390989</v>
      </c>
    </row>
    <row r="33" customFormat="false" ht="15" hidden="false" customHeight="true" outlineLevel="0" collapsed="false">
      <c r="A33" s="3" t="s">
        <v>59</v>
      </c>
      <c r="B33" s="16" t="n">
        <f aca="false">'Scenario Analysis'!G44</f>
        <v>95.4250054259121</v>
      </c>
    </row>
    <row r="34" customFormat="false" ht="15" hidden="false" customHeight="true" outlineLevel="0" collapsed="false">
      <c r="A34" s="3" t="s">
        <v>60</v>
      </c>
      <c r="B34" s="17" t="n">
        <v>72</v>
      </c>
    </row>
    <row r="35" customFormat="false" ht="15" hidden="false" customHeight="true" outlineLevel="0" collapsed="false">
      <c r="A35" s="3" t="s">
        <v>61</v>
      </c>
      <c r="B35" s="18" t="n">
        <f aca="false">B31/B34-1</f>
        <v>0.108140576640133</v>
      </c>
    </row>
    <row r="36" customFormat="false" ht="15" hidden="false" customHeight="true" outlineLevel="0" collapsed="false">
      <c r="A36" s="19" t="s">
        <v>62</v>
      </c>
      <c r="B36" s="20" t="str">
        <f aca="false">IF(B35&gt;0.15,"BUY",IF(B35&lt;-0.15,"SELL","HOLD"))</f>
        <v>HOLD</v>
      </c>
    </row>
    <row r="38" customFormat="false" ht="15" hidden="false" customHeight="true" outlineLevel="0" collapsed="false">
      <c r="A38" s="21" t="s">
        <v>63</v>
      </c>
      <c r="B38" s="21"/>
      <c r="C38" s="21"/>
      <c r="D38" s="21"/>
      <c r="E38" s="21"/>
    </row>
  </sheetData>
  <mergeCells count="10">
    <mergeCell ref="A18:E18"/>
    <mergeCell ref="A19:E19"/>
    <mergeCell ref="A20:E20"/>
    <mergeCell ref="A21:E21"/>
    <mergeCell ref="A22:E22"/>
    <mergeCell ref="A25:E25"/>
    <mergeCell ref="A26:E26"/>
    <mergeCell ref="A27:E27"/>
    <mergeCell ref="A28:E28"/>
    <mergeCell ref="A38:E3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G5" activeCellId="0" sqref="G5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13" min="2" style="1" width="22"/>
  </cols>
  <sheetData>
    <row r="1" customFormat="false" ht="19.5" hidden="false" customHeight="true" outlineLevel="0" collapsed="false">
      <c r="A1" s="22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23" t="s">
        <v>65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true" outlineLevel="0" collapsed="false">
      <c r="A4" s="24" t="s">
        <v>66</v>
      </c>
      <c r="B4" s="24" t="s">
        <v>67</v>
      </c>
      <c r="C4" s="24" t="s">
        <v>68</v>
      </c>
      <c r="D4" s="24" t="s">
        <v>69</v>
      </c>
      <c r="E4" s="24" t="s">
        <v>70</v>
      </c>
      <c r="F4" s="24" t="s">
        <v>71</v>
      </c>
      <c r="G4" s="24" t="s">
        <v>72</v>
      </c>
      <c r="H4" s="3"/>
      <c r="I4" s="3"/>
      <c r="J4" s="3"/>
      <c r="K4" s="3"/>
      <c r="L4" s="3"/>
    </row>
    <row r="5" customFormat="false" ht="15" hidden="false" customHeight="true" outlineLevel="0" collapsed="false">
      <c r="A5" s="3" t="n">
        <v>2021</v>
      </c>
      <c r="B5" s="17" t="n">
        <v>420</v>
      </c>
      <c r="C5" s="17" t="n">
        <v>273</v>
      </c>
      <c r="D5" s="17" t="n">
        <v>82</v>
      </c>
      <c r="E5" s="17" t="n">
        <v>12</v>
      </c>
      <c r="F5" s="17" t="n">
        <v>10</v>
      </c>
      <c r="G5" s="17" t="n">
        <v>8</v>
      </c>
      <c r="H5" s="3"/>
      <c r="I5" s="3"/>
      <c r="J5" s="3"/>
      <c r="K5" s="3"/>
      <c r="L5" s="3"/>
    </row>
    <row r="6" customFormat="false" ht="15" hidden="false" customHeight="true" outlineLevel="0" collapsed="false">
      <c r="A6" s="3" t="n">
        <v>2022</v>
      </c>
      <c r="B6" s="17" t="n">
        <v>465</v>
      </c>
      <c r="C6" s="17" t="n">
        <v>300</v>
      </c>
      <c r="D6" s="17" t="n">
        <v>91</v>
      </c>
      <c r="E6" s="17" t="n">
        <v>13</v>
      </c>
      <c r="F6" s="17" t="n">
        <v>11</v>
      </c>
      <c r="G6" s="17" t="n">
        <v>10</v>
      </c>
      <c r="H6" s="3"/>
      <c r="I6" s="3"/>
      <c r="J6" s="3"/>
      <c r="K6" s="3"/>
      <c r="L6" s="3"/>
    </row>
    <row r="7" customFormat="false" ht="15" hidden="false" customHeight="true" outlineLevel="0" collapsed="false">
      <c r="A7" s="3" t="n">
        <v>2023</v>
      </c>
      <c r="B7" s="17" t="n">
        <v>520</v>
      </c>
      <c r="C7" s="17" t="n">
        <v>333</v>
      </c>
      <c r="D7" s="17" t="n">
        <v>101</v>
      </c>
      <c r="E7" s="17" t="n">
        <v>15</v>
      </c>
      <c r="F7" s="17" t="n">
        <v>12</v>
      </c>
      <c r="G7" s="17" t="n">
        <v>13</v>
      </c>
      <c r="H7" s="3"/>
      <c r="I7" s="3"/>
      <c r="J7" s="3"/>
      <c r="K7" s="3"/>
      <c r="L7" s="3"/>
    </row>
    <row r="8" customFormat="false" ht="15" hidden="false" customHeight="true" outlineLevel="0" collapsed="false">
      <c r="A8" s="3" t="n">
        <v>2024</v>
      </c>
      <c r="B8" s="17" t="n">
        <v>590</v>
      </c>
      <c r="C8" s="17" t="n">
        <v>372</v>
      </c>
      <c r="D8" s="17" t="n">
        <v>112</v>
      </c>
      <c r="E8" s="17" t="n">
        <v>17</v>
      </c>
      <c r="F8" s="17" t="n">
        <v>13</v>
      </c>
      <c r="G8" s="17" t="n">
        <v>16</v>
      </c>
      <c r="H8" s="3"/>
      <c r="I8" s="3"/>
      <c r="J8" s="3"/>
      <c r="K8" s="3"/>
      <c r="L8" s="3"/>
    </row>
    <row r="9" customFormat="false" ht="15" hidden="false" customHeight="true" outlineLevel="0" collapsed="false">
      <c r="A9" s="3" t="n">
        <v>2025</v>
      </c>
      <c r="B9" s="17" t="n">
        <v>675</v>
      </c>
      <c r="C9" s="17" t="n">
        <v>425</v>
      </c>
      <c r="D9" s="17" t="n">
        <v>125</v>
      </c>
      <c r="E9" s="17" t="n">
        <v>20</v>
      </c>
      <c r="F9" s="17" t="n">
        <v>15</v>
      </c>
      <c r="G9" s="17" t="n">
        <v>21</v>
      </c>
      <c r="H9" s="3"/>
      <c r="I9" s="3"/>
      <c r="J9" s="3"/>
      <c r="K9" s="3"/>
      <c r="L9" s="3"/>
    </row>
    <row r="10" customFormat="false" ht="15" hidden="false" customHeight="true" outlineLevel="0" collapsed="false">
      <c r="A10" s="3" t="n">
        <v>2026</v>
      </c>
      <c r="B10" s="17" t="n">
        <v>780</v>
      </c>
      <c r="C10" s="17" t="n">
        <v>488</v>
      </c>
      <c r="D10" s="17" t="n">
        <v>142</v>
      </c>
      <c r="E10" s="17" t="n">
        <v>23</v>
      </c>
      <c r="F10" s="17" t="n">
        <v>17</v>
      </c>
      <c r="G10" s="17" t="n">
        <v>25</v>
      </c>
      <c r="H10" s="3"/>
      <c r="I10" s="3"/>
      <c r="J10" s="3"/>
      <c r="K10" s="3"/>
      <c r="L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customFormat="false" ht="15" hidden="false" customHeight="true" outlineLevel="0" collapsed="false">
      <c r="A12" s="23" t="s">
        <v>73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customFormat="false" ht="15" hidden="false" customHeight="true" outlineLevel="0" collapsed="false">
      <c r="A13" s="24" t="s">
        <v>66</v>
      </c>
      <c r="B13" s="24" t="s">
        <v>74</v>
      </c>
      <c r="C13" s="24" t="s">
        <v>75</v>
      </c>
      <c r="D13" s="24" t="s">
        <v>76</v>
      </c>
      <c r="E13" s="24" t="s">
        <v>77</v>
      </c>
      <c r="F13" s="24" t="s">
        <v>78</v>
      </c>
      <c r="G13" s="24" t="s">
        <v>79</v>
      </c>
      <c r="H13" s="24" t="s">
        <v>80</v>
      </c>
      <c r="I13" s="24" t="s">
        <v>81</v>
      </c>
      <c r="J13" s="24" t="s">
        <v>82</v>
      </c>
      <c r="K13" s="24" t="s">
        <v>83</v>
      </c>
      <c r="L13" s="24" t="s">
        <v>84</v>
      </c>
    </row>
    <row r="14" customFormat="false" ht="15" hidden="false" customHeight="true" outlineLevel="0" collapsed="false">
      <c r="A14" s="3" t="n">
        <v>2021</v>
      </c>
      <c r="B14" s="17" t="n">
        <v>38</v>
      </c>
      <c r="C14" s="17" t="n">
        <v>68</v>
      </c>
      <c r="D14" s="17" t="n">
        <v>72</v>
      </c>
      <c r="E14" s="17" t="n">
        <v>14</v>
      </c>
      <c r="F14" s="17" t="n">
        <v>145</v>
      </c>
      <c r="G14" s="17" t="n">
        <v>38</v>
      </c>
      <c r="H14" s="17" t="n">
        <v>54</v>
      </c>
      <c r="I14" s="17" t="n">
        <v>31</v>
      </c>
      <c r="J14" s="17" t="n">
        <v>24</v>
      </c>
      <c r="K14" s="17" t="n">
        <v>92</v>
      </c>
      <c r="L14" s="17" t="n">
        <v>19</v>
      </c>
    </row>
    <row r="15" customFormat="false" ht="15" hidden="false" customHeight="true" outlineLevel="0" collapsed="false">
      <c r="A15" s="3" t="n">
        <v>2022</v>
      </c>
      <c r="B15" s="17" t="n">
        <v>44</v>
      </c>
      <c r="C15" s="17" t="n">
        <v>75</v>
      </c>
      <c r="D15" s="17" t="n">
        <v>79</v>
      </c>
      <c r="E15" s="17" t="n">
        <v>16</v>
      </c>
      <c r="F15" s="17" t="n">
        <v>154</v>
      </c>
      <c r="G15" s="17" t="n">
        <v>41</v>
      </c>
      <c r="H15" s="17" t="n">
        <v>60</v>
      </c>
      <c r="I15" s="17" t="n">
        <v>34</v>
      </c>
      <c r="J15" s="17" t="n">
        <v>26</v>
      </c>
      <c r="K15" s="17" t="n">
        <v>96</v>
      </c>
      <c r="L15" s="17" t="n">
        <v>21</v>
      </c>
    </row>
    <row r="16" customFormat="false" ht="15" hidden="false" customHeight="true" outlineLevel="0" collapsed="false">
      <c r="A16" s="3" t="n">
        <v>2023</v>
      </c>
      <c r="B16" s="17" t="n">
        <v>52</v>
      </c>
      <c r="C16" s="17" t="n">
        <v>84</v>
      </c>
      <c r="D16" s="17" t="n">
        <v>88</v>
      </c>
      <c r="E16" s="17" t="n">
        <v>18</v>
      </c>
      <c r="F16" s="17" t="n">
        <v>168</v>
      </c>
      <c r="G16" s="17" t="n">
        <v>45</v>
      </c>
      <c r="H16" s="17" t="n">
        <v>67</v>
      </c>
      <c r="I16" s="17" t="n">
        <v>39</v>
      </c>
      <c r="J16" s="17" t="n">
        <v>29</v>
      </c>
      <c r="K16" s="17" t="n">
        <v>101</v>
      </c>
      <c r="L16" s="17" t="n">
        <v>23</v>
      </c>
    </row>
    <row r="17" customFormat="false" ht="15" hidden="false" customHeight="true" outlineLevel="0" collapsed="false">
      <c r="A17" s="3" t="n">
        <v>2024</v>
      </c>
      <c r="B17" s="17" t="n">
        <v>61</v>
      </c>
      <c r="C17" s="17" t="n">
        <v>96</v>
      </c>
      <c r="D17" s="17" t="n">
        <v>101</v>
      </c>
      <c r="E17" s="17" t="n">
        <v>20</v>
      </c>
      <c r="F17" s="17" t="n">
        <v>184</v>
      </c>
      <c r="G17" s="17" t="n">
        <v>49</v>
      </c>
      <c r="H17" s="17" t="n">
        <v>76</v>
      </c>
      <c r="I17" s="17" t="n">
        <v>45</v>
      </c>
      <c r="J17" s="17" t="n">
        <v>32</v>
      </c>
      <c r="K17" s="17" t="n">
        <v>108</v>
      </c>
      <c r="L17" s="17" t="n">
        <v>26</v>
      </c>
    </row>
    <row r="18" customFormat="false" ht="15" hidden="false" customHeight="true" outlineLevel="0" collapsed="false">
      <c r="A18" s="3" t="n">
        <v>2025</v>
      </c>
      <c r="B18" s="17" t="n">
        <v>76</v>
      </c>
      <c r="C18" s="17" t="n">
        <v>111</v>
      </c>
      <c r="D18" s="17" t="n">
        <v>118</v>
      </c>
      <c r="E18" s="17" t="n">
        <v>23</v>
      </c>
      <c r="F18" s="17" t="n">
        <v>207</v>
      </c>
      <c r="G18" s="17" t="n">
        <v>55</v>
      </c>
      <c r="H18" s="17" t="n">
        <v>89</v>
      </c>
      <c r="I18" s="17" t="n">
        <v>52</v>
      </c>
      <c r="J18" s="17" t="n">
        <v>36</v>
      </c>
      <c r="K18" s="17" t="n">
        <v>116</v>
      </c>
      <c r="L18" s="17" t="n">
        <v>29</v>
      </c>
    </row>
    <row r="19" customFormat="false" ht="15" hidden="false" customHeight="true" outlineLevel="0" collapsed="false">
      <c r="A19" s="3" t="n">
        <v>2026</v>
      </c>
      <c r="B19" s="17" t="n">
        <v>95</v>
      </c>
      <c r="C19" s="17" t="n">
        <v>128</v>
      </c>
      <c r="D19" s="17" t="n">
        <v>136</v>
      </c>
      <c r="E19" s="17" t="n">
        <v>27</v>
      </c>
      <c r="F19" s="17" t="n">
        <v>235</v>
      </c>
      <c r="G19" s="17" t="n">
        <v>61</v>
      </c>
      <c r="H19" s="17" t="n">
        <v>103</v>
      </c>
      <c r="I19" s="17" t="n">
        <v>61</v>
      </c>
      <c r="J19" s="17" t="n">
        <v>40</v>
      </c>
      <c r="K19" s="17" t="n">
        <v>124</v>
      </c>
      <c r="L19" s="17" t="n">
        <v>33</v>
      </c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customFormat="false" ht="15" hidden="false" customHeight="true" outlineLevel="0" collapsed="false">
      <c r="A21" s="23" t="s">
        <v>85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customFormat="false" ht="15" hidden="false" customHeight="true" outlineLevel="0" collapsed="false">
      <c r="A22" s="24" t="s">
        <v>66</v>
      </c>
      <c r="B22" s="24" t="s">
        <v>86</v>
      </c>
      <c r="C22" s="24" t="s">
        <v>87</v>
      </c>
      <c r="D22" s="24" t="s">
        <v>88</v>
      </c>
      <c r="E22" s="3"/>
      <c r="F22" s="3"/>
      <c r="G22" s="3"/>
      <c r="H22" s="3"/>
      <c r="I22" s="3"/>
      <c r="J22" s="3"/>
      <c r="K22" s="3"/>
      <c r="L22" s="3"/>
    </row>
    <row r="23" customFormat="false" ht="15" hidden="false" customHeight="true" outlineLevel="0" collapsed="false">
      <c r="A23" s="3" t="n">
        <v>2021</v>
      </c>
      <c r="B23" s="17" t="n">
        <v>170</v>
      </c>
      <c r="C23" s="17" t="n">
        <v>135</v>
      </c>
      <c r="D23" s="17" t="n">
        <v>115</v>
      </c>
      <c r="E23" s="3"/>
      <c r="F23" s="3"/>
      <c r="G23" s="3"/>
      <c r="H23" s="3"/>
      <c r="I23" s="3"/>
      <c r="J23" s="3"/>
      <c r="K23" s="3"/>
      <c r="L23" s="3"/>
    </row>
    <row r="24" customFormat="false" ht="15" hidden="false" customHeight="true" outlineLevel="0" collapsed="false">
      <c r="A24" s="3" t="n">
        <v>2022</v>
      </c>
      <c r="B24" s="17" t="n">
        <v>190</v>
      </c>
      <c r="C24" s="17" t="n">
        <v>149</v>
      </c>
      <c r="D24" s="17" t="n">
        <v>126</v>
      </c>
      <c r="E24" s="3"/>
      <c r="F24" s="3"/>
      <c r="G24" s="3"/>
      <c r="H24" s="3"/>
      <c r="I24" s="3"/>
      <c r="J24" s="3"/>
      <c r="K24" s="3"/>
      <c r="L24" s="3"/>
    </row>
    <row r="25" customFormat="false" ht="15" hidden="false" customHeight="true" outlineLevel="0" collapsed="false">
      <c r="A25" s="3" t="n">
        <v>2023</v>
      </c>
      <c r="B25" s="17" t="n">
        <v>214</v>
      </c>
      <c r="C25" s="17" t="n">
        <v>166</v>
      </c>
      <c r="D25" s="17" t="n">
        <v>140</v>
      </c>
      <c r="E25" s="3"/>
      <c r="F25" s="3"/>
      <c r="G25" s="3"/>
      <c r="H25" s="3"/>
      <c r="I25" s="3"/>
      <c r="J25" s="3"/>
      <c r="K25" s="3"/>
      <c r="L25" s="3"/>
    </row>
    <row r="26" customFormat="false" ht="15" hidden="false" customHeight="true" outlineLevel="0" collapsed="false">
      <c r="A26" s="3" t="n">
        <v>2024</v>
      </c>
      <c r="B26" s="17" t="n">
        <v>244</v>
      </c>
      <c r="C26" s="17" t="n">
        <v>188</v>
      </c>
      <c r="D26" s="17" t="n">
        <v>158</v>
      </c>
      <c r="E26" s="3"/>
      <c r="F26" s="3"/>
      <c r="G26" s="3"/>
      <c r="H26" s="3"/>
      <c r="I26" s="3"/>
      <c r="J26" s="3"/>
      <c r="K26" s="3"/>
      <c r="L26" s="3"/>
    </row>
    <row r="27" customFormat="false" ht="15" hidden="false" customHeight="true" outlineLevel="0" collapsed="false">
      <c r="A27" s="3" t="n">
        <v>2025</v>
      </c>
      <c r="B27" s="17" t="n">
        <v>281</v>
      </c>
      <c r="C27" s="17" t="n">
        <v>215</v>
      </c>
      <c r="D27" s="17" t="n">
        <v>179</v>
      </c>
      <c r="E27" s="3"/>
      <c r="F27" s="3"/>
      <c r="G27" s="3"/>
      <c r="H27" s="3"/>
      <c r="I27" s="3"/>
      <c r="J27" s="3"/>
      <c r="K27" s="3"/>
      <c r="L27" s="3"/>
    </row>
    <row r="28" customFormat="false" ht="15" hidden="false" customHeight="true" outlineLevel="0" collapsed="false">
      <c r="A28" s="3" t="n">
        <v>2026</v>
      </c>
      <c r="B28" s="17" t="n">
        <v>327</v>
      </c>
      <c r="C28" s="17" t="n">
        <v>248</v>
      </c>
      <c r="D28" s="17" t="n">
        <v>205</v>
      </c>
      <c r="E28" s="3"/>
      <c r="F28" s="3"/>
      <c r="G28" s="3"/>
      <c r="H28" s="3"/>
      <c r="I28" s="3"/>
      <c r="J28" s="3"/>
      <c r="K28" s="3"/>
      <c r="L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customFormat="false" ht="15" hidden="false" customHeight="true" outlineLevel="0" collapsed="false">
      <c r="A30" s="23" t="s">
        <v>89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customFormat="false" ht="15" hidden="false" customHeight="true" outlineLevel="0" collapsed="false">
      <c r="A31" s="24" t="s">
        <v>66</v>
      </c>
      <c r="B31" s="24" t="s">
        <v>90</v>
      </c>
      <c r="C31" s="24" t="s">
        <v>91</v>
      </c>
      <c r="D31" s="24" t="s">
        <v>92</v>
      </c>
      <c r="E31" s="24" t="s">
        <v>93</v>
      </c>
      <c r="F31" s="3"/>
      <c r="G31" s="3"/>
      <c r="H31" s="3"/>
      <c r="I31" s="3"/>
      <c r="J31" s="3"/>
      <c r="K31" s="3"/>
      <c r="L31" s="3"/>
    </row>
    <row r="32" customFormat="false" ht="15" hidden="false" customHeight="true" outlineLevel="0" collapsed="false">
      <c r="A32" s="3" t="n">
        <v>2021</v>
      </c>
      <c r="B32" s="17" t="n">
        <v>300</v>
      </c>
      <c r="C32" s="17" t="n">
        <v>55</v>
      </c>
      <c r="D32" s="17" t="n">
        <v>40</v>
      </c>
      <c r="E32" s="17" t="n">
        <v>25</v>
      </c>
      <c r="F32" s="3"/>
      <c r="G32" s="3"/>
      <c r="H32" s="3"/>
      <c r="I32" s="3"/>
      <c r="J32" s="3"/>
      <c r="K32" s="3"/>
      <c r="L32" s="3"/>
    </row>
    <row r="33" customFormat="false" ht="15" hidden="false" customHeight="true" outlineLevel="0" collapsed="false">
      <c r="A33" s="3" t="n">
        <v>2022</v>
      </c>
      <c r="B33" s="17" t="n">
        <v>330</v>
      </c>
      <c r="C33" s="17" t="n">
        <v>61</v>
      </c>
      <c r="D33" s="17" t="n">
        <v>44</v>
      </c>
      <c r="E33" s="17" t="n">
        <v>30</v>
      </c>
      <c r="F33" s="3"/>
      <c r="G33" s="3"/>
      <c r="H33" s="3"/>
      <c r="I33" s="3"/>
      <c r="J33" s="3"/>
      <c r="K33" s="3"/>
      <c r="L33" s="3"/>
    </row>
    <row r="34" customFormat="false" ht="15" hidden="false" customHeight="true" outlineLevel="0" collapsed="false">
      <c r="A34" s="3" t="n">
        <v>2023</v>
      </c>
      <c r="B34" s="17" t="n">
        <v>370</v>
      </c>
      <c r="C34" s="17" t="n">
        <v>68</v>
      </c>
      <c r="D34" s="17" t="n">
        <v>48</v>
      </c>
      <c r="E34" s="17" t="n">
        <v>34</v>
      </c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3" t="n">
        <v>2024</v>
      </c>
      <c r="B35" s="17" t="n">
        <v>420</v>
      </c>
      <c r="C35" s="17" t="n">
        <v>76</v>
      </c>
      <c r="D35" s="17" t="n">
        <v>54</v>
      </c>
      <c r="E35" s="17" t="n">
        <v>40</v>
      </c>
      <c r="F35" s="3"/>
      <c r="G35" s="3"/>
      <c r="H35" s="3"/>
      <c r="I35" s="3"/>
      <c r="J35" s="3"/>
      <c r="K35" s="3"/>
      <c r="L35" s="3"/>
    </row>
    <row r="36" customFormat="false" ht="15" hidden="false" customHeight="true" outlineLevel="0" collapsed="false">
      <c r="A36" s="3" t="n">
        <v>2025</v>
      </c>
      <c r="B36" s="17" t="n">
        <v>485</v>
      </c>
      <c r="C36" s="17" t="n">
        <v>86</v>
      </c>
      <c r="D36" s="17" t="n">
        <v>61</v>
      </c>
      <c r="E36" s="17" t="n">
        <v>43</v>
      </c>
      <c r="F36" s="3"/>
      <c r="G36" s="3"/>
      <c r="H36" s="3"/>
      <c r="I36" s="3"/>
      <c r="J36" s="3"/>
      <c r="K36" s="3"/>
      <c r="L36" s="3"/>
    </row>
    <row r="37" customFormat="false" ht="15" hidden="false" customHeight="true" outlineLevel="0" collapsed="false">
      <c r="A37" s="3" t="n">
        <v>2026</v>
      </c>
      <c r="B37" s="17" t="n">
        <v>560</v>
      </c>
      <c r="C37" s="17" t="n">
        <v>98</v>
      </c>
      <c r="D37" s="17" t="n">
        <v>70</v>
      </c>
      <c r="E37" s="17" t="n">
        <v>52</v>
      </c>
      <c r="F37" s="3"/>
      <c r="G37" s="3"/>
      <c r="H37" s="3"/>
      <c r="I37" s="3"/>
      <c r="J37" s="3"/>
      <c r="K37" s="3"/>
      <c r="L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customFormat="false" ht="15" hidden="false" customHeight="true" outlineLevel="0" collapsed="false">
      <c r="A39" s="23" t="s">
        <v>94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customFormat="false" ht="15" hidden="false" customHeight="true" outlineLevel="0" collapsed="false">
      <c r="A40" s="24" t="s">
        <v>66</v>
      </c>
      <c r="B40" s="24" t="s">
        <v>95</v>
      </c>
      <c r="C40" s="24" t="s">
        <v>96</v>
      </c>
      <c r="D40" s="24" t="s">
        <v>97</v>
      </c>
      <c r="E40" s="24" t="s">
        <v>98</v>
      </c>
      <c r="F40" s="3"/>
      <c r="G40" s="3"/>
      <c r="H40" s="3"/>
      <c r="I40" s="3"/>
      <c r="J40" s="3"/>
      <c r="K40" s="3"/>
      <c r="L40" s="3"/>
    </row>
    <row r="41" customFormat="false" ht="15" hidden="false" customHeight="true" outlineLevel="0" collapsed="false">
      <c r="A41" s="3" t="n">
        <v>2021</v>
      </c>
      <c r="B41" s="17" t="n">
        <v>22</v>
      </c>
      <c r="C41" s="17" t="n">
        <v>8</v>
      </c>
      <c r="D41" s="17" t="n">
        <v>4</v>
      </c>
      <c r="E41" s="17" t="n">
        <v>12</v>
      </c>
      <c r="F41" s="3"/>
      <c r="G41" s="3"/>
      <c r="H41" s="3"/>
      <c r="I41" s="3"/>
      <c r="J41" s="3"/>
      <c r="K41" s="3"/>
      <c r="L41" s="3"/>
    </row>
    <row r="42" customFormat="false" ht="15" hidden="false" customHeight="true" outlineLevel="0" collapsed="false">
      <c r="A42" s="3" t="n">
        <v>2022</v>
      </c>
      <c r="B42" s="17" t="n">
        <v>25</v>
      </c>
      <c r="C42" s="17" t="n">
        <v>6</v>
      </c>
      <c r="D42" s="17" t="n">
        <v>5</v>
      </c>
      <c r="E42" s="17" t="n">
        <v>10</v>
      </c>
      <c r="F42" s="3"/>
      <c r="G42" s="3"/>
      <c r="H42" s="3"/>
      <c r="I42" s="3"/>
      <c r="J42" s="3"/>
      <c r="K42" s="3"/>
      <c r="L42" s="3"/>
    </row>
    <row r="43" customFormat="false" ht="15" hidden="false" customHeight="true" outlineLevel="0" collapsed="false">
      <c r="A43" s="3" t="n">
        <v>2023</v>
      </c>
      <c r="B43" s="17" t="n">
        <v>28</v>
      </c>
      <c r="C43" s="17" t="n">
        <v>9</v>
      </c>
      <c r="D43" s="17" t="n">
        <v>6</v>
      </c>
      <c r="E43" s="17" t="n">
        <v>9</v>
      </c>
      <c r="F43" s="3"/>
      <c r="G43" s="3"/>
      <c r="H43" s="3"/>
      <c r="I43" s="3"/>
      <c r="J43" s="3"/>
      <c r="K43" s="3"/>
      <c r="L43" s="3"/>
    </row>
    <row r="44" customFormat="false" ht="15" hidden="false" customHeight="true" outlineLevel="0" collapsed="false">
      <c r="A44" s="3" t="n">
        <v>2024</v>
      </c>
      <c r="B44" s="17" t="n">
        <v>31</v>
      </c>
      <c r="C44" s="17" t="n">
        <v>11</v>
      </c>
      <c r="D44" s="17" t="n">
        <v>7</v>
      </c>
      <c r="E44" s="17" t="n">
        <v>8</v>
      </c>
      <c r="F44" s="3"/>
      <c r="G44" s="3"/>
      <c r="H44" s="3"/>
      <c r="I44" s="3"/>
      <c r="J44" s="3"/>
      <c r="K44" s="3"/>
      <c r="L44" s="3"/>
    </row>
    <row r="45" customFormat="false" ht="15" hidden="false" customHeight="true" outlineLevel="0" collapsed="false">
      <c r="A45" s="3" t="n">
        <v>2025</v>
      </c>
      <c r="B45" s="17" t="n">
        <v>38</v>
      </c>
      <c r="C45" s="17" t="n">
        <v>14</v>
      </c>
      <c r="D45" s="17" t="n">
        <v>9</v>
      </c>
      <c r="E45" s="17" t="n">
        <v>7</v>
      </c>
      <c r="F45" s="3"/>
      <c r="G45" s="3"/>
      <c r="H45" s="3"/>
      <c r="I45" s="3"/>
      <c r="J45" s="3"/>
      <c r="K45" s="3"/>
      <c r="L45" s="3"/>
    </row>
    <row r="46" customFormat="false" ht="15" hidden="false" customHeight="true" outlineLevel="0" collapsed="false">
      <c r="A46" s="3" t="n">
        <v>2026</v>
      </c>
      <c r="B46" s="17" t="n">
        <v>45</v>
      </c>
      <c r="C46" s="17" t="n">
        <v>16</v>
      </c>
      <c r="D46" s="17" t="n">
        <v>10</v>
      </c>
      <c r="E46" s="17" t="n">
        <v>6</v>
      </c>
      <c r="F46" s="3"/>
      <c r="G46" s="3"/>
      <c r="H46" s="3"/>
      <c r="I46" s="3"/>
      <c r="J46" s="3"/>
      <c r="K46" s="3"/>
      <c r="L46" s="3"/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22" t="s">
        <v>99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4" t="s">
        <v>100</v>
      </c>
      <c r="B3" s="24" t="n">
        <v>2021</v>
      </c>
      <c r="C3" s="24" t="n">
        <v>2022</v>
      </c>
      <c r="D3" s="24" t="n">
        <v>2023</v>
      </c>
      <c r="E3" s="24" t="n">
        <v>2024</v>
      </c>
      <c r="F3" s="24" t="n">
        <v>2025</v>
      </c>
      <c r="G3" s="24" t="n">
        <v>2026</v>
      </c>
    </row>
    <row r="4" customFormat="false" ht="15" hidden="false" customHeight="true" outlineLevel="0" collapsed="false">
      <c r="A4" s="3" t="s">
        <v>67</v>
      </c>
      <c r="B4" s="16" t="n">
        <f aca="false">'Raw Data'!B5</f>
        <v>420</v>
      </c>
      <c r="C4" s="16" t="n">
        <f aca="false">'Raw Data'!B6</f>
        <v>465</v>
      </c>
      <c r="D4" s="16" t="n">
        <f aca="false">'Raw Data'!B7</f>
        <v>520</v>
      </c>
      <c r="E4" s="16" t="n">
        <f aca="false">'Raw Data'!B8</f>
        <v>590</v>
      </c>
      <c r="F4" s="16" t="n">
        <f aca="false">'Raw Data'!B9</f>
        <v>675</v>
      </c>
      <c r="G4" s="16" t="n">
        <f aca="false">'Raw Data'!B10</f>
        <v>780</v>
      </c>
    </row>
    <row r="5" customFormat="false" ht="15" hidden="false" customHeight="true" outlineLevel="0" collapsed="false">
      <c r="A5" s="3" t="s">
        <v>68</v>
      </c>
      <c r="B5" s="16" t="n">
        <f aca="false">'Raw Data'!C5</f>
        <v>273</v>
      </c>
      <c r="C5" s="16" t="n">
        <f aca="false">'Raw Data'!C6</f>
        <v>300</v>
      </c>
      <c r="D5" s="16" t="n">
        <f aca="false">'Raw Data'!C7</f>
        <v>333</v>
      </c>
      <c r="E5" s="16" t="n">
        <f aca="false">'Raw Data'!C8</f>
        <v>372</v>
      </c>
      <c r="F5" s="16" t="n">
        <f aca="false">'Raw Data'!C9</f>
        <v>425</v>
      </c>
      <c r="G5" s="16" t="n">
        <f aca="false">'Raw Data'!C10</f>
        <v>488</v>
      </c>
    </row>
    <row r="6" customFormat="false" ht="15" hidden="false" customHeight="true" outlineLevel="0" collapsed="false">
      <c r="A6" s="3" t="s">
        <v>101</v>
      </c>
      <c r="B6" s="16" t="n">
        <f aca="false">B4-B5</f>
        <v>147</v>
      </c>
      <c r="C6" s="16" t="n">
        <f aca="false">C4-C5</f>
        <v>165</v>
      </c>
      <c r="D6" s="16" t="n">
        <f aca="false">D4-D5</f>
        <v>187</v>
      </c>
      <c r="E6" s="16" t="n">
        <f aca="false">E4-E5</f>
        <v>218</v>
      </c>
      <c r="F6" s="16" t="n">
        <f aca="false">F4-F5</f>
        <v>250</v>
      </c>
      <c r="G6" s="16" t="n">
        <f aca="false">G4-G5</f>
        <v>292</v>
      </c>
    </row>
    <row r="7" customFormat="false" ht="15" hidden="false" customHeight="true" outlineLevel="0" collapsed="false">
      <c r="A7" s="3" t="s">
        <v>69</v>
      </c>
      <c r="B7" s="16" t="n">
        <f aca="false">'Raw Data'!D5</f>
        <v>82</v>
      </c>
      <c r="C7" s="16" t="n">
        <f aca="false">'Raw Data'!D6</f>
        <v>91</v>
      </c>
      <c r="D7" s="16" t="n">
        <f aca="false">'Raw Data'!D7</f>
        <v>101</v>
      </c>
      <c r="E7" s="16" t="n">
        <f aca="false">'Raw Data'!D8</f>
        <v>112</v>
      </c>
      <c r="F7" s="16" t="n">
        <f aca="false">'Raw Data'!D9</f>
        <v>125</v>
      </c>
      <c r="G7" s="16" t="n">
        <f aca="false">'Raw Data'!D10</f>
        <v>142</v>
      </c>
    </row>
    <row r="8" customFormat="false" ht="15" hidden="false" customHeight="true" outlineLevel="0" collapsed="false">
      <c r="A8" s="3" t="s">
        <v>102</v>
      </c>
      <c r="B8" s="16" t="n">
        <f aca="false">B6-B7</f>
        <v>65</v>
      </c>
      <c r="C8" s="16" t="n">
        <f aca="false">C6-C7</f>
        <v>74</v>
      </c>
      <c r="D8" s="16" t="n">
        <f aca="false">D6-D7</f>
        <v>86</v>
      </c>
      <c r="E8" s="16" t="n">
        <f aca="false">E6-E7</f>
        <v>106</v>
      </c>
      <c r="F8" s="16" t="n">
        <f aca="false">F6-F7</f>
        <v>125</v>
      </c>
      <c r="G8" s="16" t="n">
        <f aca="false">G6-G7</f>
        <v>150</v>
      </c>
    </row>
    <row r="9" customFormat="false" ht="15" hidden="false" customHeight="true" outlineLevel="0" collapsed="false">
      <c r="A9" s="3" t="s">
        <v>70</v>
      </c>
      <c r="B9" s="16" t="n">
        <f aca="false">'Raw Data'!E5</f>
        <v>12</v>
      </c>
      <c r="C9" s="16" t="n">
        <f aca="false">'Raw Data'!E6</f>
        <v>13</v>
      </c>
      <c r="D9" s="16" t="n">
        <f aca="false">'Raw Data'!E7</f>
        <v>15</v>
      </c>
      <c r="E9" s="16" t="n">
        <f aca="false">'Raw Data'!E8</f>
        <v>17</v>
      </c>
      <c r="F9" s="16" t="n">
        <f aca="false">'Raw Data'!E9</f>
        <v>20</v>
      </c>
      <c r="G9" s="16" t="n">
        <f aca="false">'Raw Data'!E10</f>
        <v>23</v>
      </c>
    </row>
    <row r="10" customFormat="false" ht="15" hidden="false" customHeight="true" outlineLevel="0" collapsed="false">
      <c r="A10" s="3" t="s">
        <v>103</v>
      </c>
      <c r="B10" s="16" t="n">
        <f aca="false">B8-B9</f>
        <v>53</v>
      </c>
      <c r="C10" s="16" t="n">
        <f aca="false">C8-C9</f>
        <v>61</v>
      </c>
      <c r="D10" s="16" t="n">
        <f aca="false">D8-D9</f>
        <v>71</v>
      </c>
      <c r="E10" s="16" t="n">
        <f aca="false">E8-E9</f>
        <v>89</v>
      </c>
      <c r="F10" s="16" t="n">
        <f aca="false">F8-F9</f>
        <v>105</v>
      </c>
      <c r="G10" s="16" t="n">
        <f aca="false">G8-G9</f>
        <v>127</v>
      </c>
    </row>
    <row r="11" customFormat="false" ht="15" hidden="false" customHeight="true" outlineLevel="0" collapsed="false">
      <c r="A11" s="3" t="s">
        <v>71</v>
      </c>
      <c r="B11" s="16" t="n">
        <f aca="false">'Raw Data'!F5</f>
        <v>10</v>
      </c>
      <c r="C11" s="16" t="n">
        <f aca="false">'Raw Data'!F6</f>
        <v>11</v>
      </c>
      <c r="D11" s="16" t="n">
        <f aca="false">'Raw Data'!F7</f>
        <v>12</v>
      </c>
      <c r="E11" s="16" t="n">
        <f aca="false">'Raw Data'!F8</f>
        <v>13</v>
      </c>
      <c r="F11" s="16" t="n">
        <f aca="false">'Raw Data'!F9</f>
        <v>15</v>
      </c>
      <c r="G11" s="16" t="n">
        <f aca="false">'Raw Data'!F10</f>
        <v>17</v>
      </c>
    </row>
    <row r="12" customFormat="false" ht="15" hidden="false" customHeight="true" outlineLevel="0" collapsed="false">
      <c r="A12" s="3" t="s">
        <v>104</v>
      </c>
      <c r="B12" s="16" t="n">
        <f aca="false">B10-B11</f>
        <v>43</v>
      </c>
      <c r="C12" s="16" t="n">
        <f aca="false">C10-C11</f>
        <v>50</v>
      </c>
      <c r="D12" s="16" t="n">
        <f aca="false">D10-D11</f>
        <v>59</v>
      </c>
      <c r="E12" s="16" t="n">
        <f aca="false">E10-E11</f>
        <v>76</v>
      </c>
      <c r="F12" s="16" t="n">
        <f aca="false">F10-F11</f>
        <v>90</v>
      </c>
      <c r="G12" s="16" t="n">
        <f aca="false">G10-G11</f>
        <v>110</v>
      </c>
    </row>
    <row r="13" customFormat="false" ht="15" hidden="false" customHeight="true" outlineLevel="0" collapsed="false">
      <c r="A13" s="3" t="s">
        <v>72</v>
      </c>
      <c r="B13" s="16" t="n">
        <f aca="false">'Raw Data'!G5</f>
        <v>8</v>
      </c>
      <c r="C13" s="16" t="n">
        <f aca="false">'Raw Data'!G6</f>
        <v>10</v>
      </c>
      <c r="D13" s="16" t="n">
        <f aca="false">'Raw Data'!G7</f>
        <v>13</v>
      </c>
      <c r="E13" s="16" t="n">
        <f aca="false">'Raw Data'!G8</f>
        <v>16</v>
      </c>
      <c r="F13" s="16" t="n">
        <f aca="false">'Raw Data'!G9</f>
        <v>21</v>
      </c>
      <c r="G13" s="16" t="n">
        <f aca="false">'Raw Data'!G10</f>
        <v>25</v>
      </c>
    </row>
    <row r="14" customFormat="false" ht="15" hidden="false" customHeight="true" outlineLevel="0" collapsed="false">
      <c r="A14" s="3" t="s">
        <v>105</v>
      </c>
      <c r="B14" s="16" t="n">
        <f aca="false">B12-B13</f>
        <v>35</v>
      </c>
      <c r="C14" s="16" t="n">
        <f aca="false">C12-C13</f>
        <v>40</v>
      </c>
      <c r="D14" s="16" t="n">
        <f aca="false">D12-D13</f>
        <v>46</v>
      </c>
      <c r="E14" s="16" t="n">
        <f aca="false">E12-E13</f>
        <v>60</v>
      </c>
      <c r="F14" s="16" t="n">
        <f aca="false">F12-F13</f>
        <v>69</v>
      </c>
      <c r="G14" s="16" t="n">
        <f aca="false">G12-G13</f>
        <v>85</v>
      </c>
    </row>
    <row r="15" customFormat="false" ht="15" hidden="false" customHeight="true" outlineLevel="0" collapsed="false">
      <c r="A15" s="3" t="s">
        <v>106</v>
      </c>
      <c r="B15" s="18" t="n">
        <f aca="false">B6/B4</f>
        <v>0.35</v>
      </c>
      <c r="C15" s="18" t="n">
        <f aca="false">C6/C4</f>
        <v>0.354838709677419</v>
      </c>
      <c r="D15" s="18" t="n">
        <f aca="false">D6/D4</f>
        <v>0.359615384615385</v>
      </c>
      <c r="E15" s="18" t="n">
        <f aca="false">E6/E4</f>
        <v>0.369491525423729</v>
      </c>
      <c r="F15" s="18" t="n">
        <f aca="false">F6/F4</f>
        <v>0.37037037037037</v>
      </c>
      <c r="G15" s="18" t="n">
        <f aca="false">G6/G4</f>
        <v>0.374358974358974</v>
      </c>
    </row>
    <row r="16" customFormat="false" ht="15" hidden="false" customHeight="true" outlineLevel="0" collapsed="false">
      <c r="A16" s="3" t="s">
        <v>38</v>
      </c>
      <c r="B16" s="18" t="n">
        <f aca="false">B8/B4</f>
        <v>0.154761904761905</v>
      </c>
      <c r="C16" s="18" t="n">
        <f aca="false">C8/C4</f>
        <v>0.159139784946237</v>
      </c>
      <c r="D16" s="18" t="n">
        <f aca="false">D8/D4</f>
        <v>0.165384615384615</v>
      </c>
      <c r="E16" s="18" t="n">
        <f aca="false">E8/E4</f>
        <v>0.179661016949153</v>
      </c>
      <c r="F16" s="18" t="n">
        <f aca="false">F8/F4</f>
        <v>0.185185185185185</v>
      </c>
      <c r="G16" s="18" t="n">
        <f aca="false">G8/G4</f>
        <v>0.192307692307692</v>
      </c>
    </row>
    <row r="17" customFormat="false" ht="15" hidden="false" customHeight="true" outlineLevel="0" collapsed="false">
      <c r="A17" s="3" t="s">
        <v>107</v>
      </c>
      <c r="B17" s="18" t="n">
        <f aca="false">B10/B4</f>
        <v>0.126190476190476</v>
      </c>
      <c r="C17" s="18" t="n">
        <f aca="false">C10/C4</f>
        <v>0.131182795698925</v>
      </c>
      <c r="D17" s="18" t="n">
        <f aca="false">D10/D4</f>
        <v>0.136538461538462</v>
      </c>
      <c r="E17" s="18" t="n">
        <f aca="false">E10/E4</f>
        <v>0.150847457627119</v>
      </c>
      <c r="F17" s="18" t="n">
        <f aca="false">F10/F4</f>
        <v>0.155555555555556</v>
      </c>
      <c r="G17" s="18" t="n">
        <f aca="false">G10/G4</f>
        <v>0.162820512820513</v>
      </c>
    </row>
    <row r="18" customFormat="false" ht="15" hidden="false" customHeight="true" outlineLevel="0" collapsed="false">
      <c r="A18" s="3" t="s">
        <v>40</v>
      </c>
      <c r="B18" s="18" t="n">
        <f aca="false">B14/B4</f>
        <v>0.0833333333333333</v>
      </c>
      <c r="C18" s="18" t="n">
        <f aca="false">C14/C4</f>
        <v>0.0860215053763441</v>
      </c>
      <c r="D18" s="18" t="n">
        <f aca="false">D14/D4</f>
        <v>0.0884615384615385</v>
      </c>
      <c r="E18" s="18" t="n">
        <f aca="false">E14/E4</f>
        <v>0.101694915254237</v>
      </c>
      <c r="F18" s="18" t="n">
        <f aca="false">F14/F4</f>
        <v>0.102222222222222</v>
      </c>
      <c r="G18" s="18" t="n">
        <f aca="false">G14/G4</f>
        <v>0.108974358974359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22" t="s">
        <v>12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4" t="s">
        <v>100</v>
      </c>
      <c r="B3" s="24" t="n">
        <v>2021</v>
      </c>
      <c r="C3" s="24" t="n">
        <v>2022</v>
      </c>
      <c r="D3" s="24" t="n">
        <v>2023</v>
      </c>
      <c r="E3" s="24" t="n">
        <v>2024</v>
      </c>
      <c r="F3" s="24" t="n">
        <v>2025</v>
      </c>
      <c r="G3" s="24" t="n">
        <v>2026</v>
      </c>
    </row>
    <row r="4" customFormat="false" ht="15" hidden="false" customHeight="true" outlineLevel="0" collapsed="false">
      <c r="A4" s="3" t="s">
        <v>74</v>
      </c>
      <c r="B4" s="16" t="n">
        <f aca="false">'Raw Data'!B14</f>
        <v>38</v>
      </c>
      <c r="C4" s="16" t="n">
        <f aca="false">'Raw Data'!B15</f>
        <v>44</v>
      </c>
      <c r="D4" s="16" t="n">
        <f aca="false">'Raw Data'!B16</f>
        <v>52</v>
      </c>
      <c r="E4" s="16" t="n">
        <f aca="false">'Raw Data'!B17</f>
        <v>61</v>
      </c>
      <c r="F4" s="16" t="n">
        <f aca="false">'Raw Data'!B18</f>
        <v>76</v>
      </c>
      <c r="G4" s="16" t="n">
        <f aca="false">'Raw Data'!B19</f>
        <v>95</v>
      </c>
    </row>
    <row r="5" customFormat="false" ht="15" hidden="false" customHeight="true" outlineLevel="0" collapsed="false">
      <c r="A5" s="3" t="s">
        <v>75</v>
      </c>
      <c r="B5" s="16" t="n">
        <f aca="false">'Raw Data'!C14</f>
        <v>68</v>
      </c>
      <c r="C5" s="16" t="n">
        <f aca="false">'Raw Data'!C15</f>
        <v>75</v>
      </c>
      <c r="D5" s="16" t="n">
        <f aca="false">'Raw Data'!C16</f>
        <v>84</v>
      </c>
      <c r="E5" s="16" t="n">
        <f aca="false">'Raw Data'!C17</f>
        <v>96</v>
      </c>
      <c r="F5" s="16" t="n">
        <f aca="false">'Raw Data'!C18</f>
        <v>111</v>
      </c>
      <c r="G5" s="16" t="n">
        <f aca="false">'Raw Data'!C19</f>
        <v>128</v>
      </c>
    </row>
    <row r="6" customFormat="false" ht="15" hidden="false" customHeight="true" outlineLevel="0" collapsed="false">
      <c r="A6" s="3" t="s">
        <v>76</v>
      </c>
      <c r="B6" s="16" t="n">
        <f aca="false">'Raw Data'!D14</f>
        <v>72</v>
      </c>
      <c r="C6" s="16" t="n">
        <f aca="false">'Raw Data'!D15</f>
        <v>79</v>
      </c>
      <c r="D6" s="16" t="n">
        <f aca="false">'Raw Data'!D16</f>
        <v>88</v>
      </c>
      <c r="E6" s="16" t="n">
        <f aca="false">'Raw Data'!D17</f>
        <v>101</v>
      </c>
      <c r="F6" s="16" t="n">
        <f aca="false">'Raw Data'!D18</f>
        <v>118</v>
      </c>
      <c r="G6" s="16" t="n">
        <f aca="false">'Raw Data'!D19</f>
        <v>136</v>
      </c>
    </row>
    <row r="7" customFormat="false" ht="15" hidden="false" customHeight="true" outlineLevel="0" collapsed="false">
      <c r="A7" s="3" t="s">
        <v>77</v>
      </c>
      <c r="B7" s="16" t="n">
        <f aca="false">'Raw Data'!E14</f>
        <v>14</v>
      </c>
      <c r="C7" s="16" t="n">
        <f aca="false">'Raw Data'!E15</f>
        <v>16</v>
      </c>
      <c r="D7" s="16" t="n">
        <f aca="false">'Raw Data'!E16</f>
        <v>18</v>
      </c>
      <c r="E7" s="16" t="n">
        <f aca="false">'Raw Data'!E17</f>
        <v>20</v>
      </c>
      <c r="F7" s="16" t="n">
        <f aca="false">'Raw Data'!E18</f>
        <v>23</v>
      </c>
      <c r="G7" s="16" t="n">
        <f aca="false">'Raw Data'!E19</f>
        <v>27</v>
      </c>
    </row>
    <row r="8" customFormat="false" ht="15" hidden="false" customHeight="true" outlineLevel="0" collapsed="false">
      <c r="A8" s="3" t="s">
        <v>78</v>
      </c>
      <c r="B8" s="16" t="n">
        <f aca="false">'Raw Data'!F14</f>
        <v>145</v>
      </c>
      <c r="C8" s="16" t="n">
        <f aca="false">'Raw Data'!F15</f>
        <v>154</v>
      </c>
      <c r="D8" s="16" t="n">
        <f aca="false">'Raw Data'!F16</f>
        <v>168</v>
      </c>
      <c r="E8" s="16" t="n">
        <f aca="false">'Raw Data'!F17</f>
        <v>184</v>
      </c>
      <c r="F8" s="16" t="n">
        <f aca="false">'Raw Data'!F18</f>
        <v>207</v>
      </c>
      <c r="G8" s="16" t="n">
        <f aca="false">'Raw Data'!F19</f>
        <v>235</v>
      </c>
    </row>
    <row r="9" customFormat="false" ht="15" hidden="false" customHeight="true" outlineLevel="0" collapsed="false">
      <c r="A9" s="3" t="s">
        <v>79</v>
      </c>
      <c r="B9" s="16" t="n">
        <f aca="false">'Raw Data'!G14</f>
        <v>38</v>
      </c>
      <c r="C9" s="16" t="n">
        <f aca="false">'Raw Data'!G15</f>
        <v>41</v>
      </c>
      <c r="D9" s="16" t="n">
        <f aca="false">'Raw Data'!G16</f>
        <v>45</v>
      </c>
      <c r="E9" s="16" t="n">
        <f aca="false">'Raw Data'!G17</f>
        <v>49</v>
      </c>
      <c r="F9" s="16" t="n">
        <f aca="false">'Raw Data'!G18</f>
        <v>55</v>
      </c>
      <c r="G9" s="16" t="n">
        <f aca="false">'Raw Data'!G19</f>
        <v>61</v>
      </c>
    </row>
    <row r="10" customFormat="false" ht="15" hidden="false" customHeight="true" outlineLevel="0" collapsed="false">
      <c r="A10" s="3" t="s">
        <v>80</v>
      </c>
      <c r="B10" s="16" t="n">
        <f aca="false">'Raw Data'!H14</f>
        <v>54</v>
      </c>
      <c r="C10" s="16" t="n">
        <f aca="false">'Raw Data'!H15</f>
        <v>60</v>
      </c>
      <c r="D10" s="16" t="n">
        <f aca="false">'Raw Data'!H16</f>
        <v>67</v>
      </c>
      <c r="E10" s="16" t="n">
        <f aca="false">'Raw Data'!H17</f>
        <v>76</v>
      </c>
      <c r="F10" s="16" t="n">
        <f aca="false">'Raw Data'!H18</f>
        <v>89</v>
      </c>
      <c r="G10" s="16" t="n">
        <f aca="false">'Raw Data'!H19</f>
        <v>103</v>
      </c>
    </row>
    <row r="11" customFormat="false" ht="15" hidden="false" customHeight="true" outlineLevel="0" collapsed="false">
      <c r="A11" s="3" t="s">
        <v>81</v>
      </c>
      <c r="B11" s="16" t="n">
        <f aca="false">'Raw Data'!I14</f>
        <v>31</v>
      </c>
      <c r="C11" s="16" t="n">
        <f aca="false">'Raw Data'!I15</f>
        <v>34</v>
      </c>
      <c r="D11" s="16" t="n">
        <f aca="false">'Raw Data'!I16</f>
        <v>39</v>
      </c>
      <c r="E11" s="16" t="n">
        <f aca="false">'Raw Data'!I17</f>
        <v>45</v>
      </c>
      <c r="F11" s="16" t="n">
        <f aca="false">'Raw Data'!I18</f>
        <v>52</v>
      </c>
      <c r="G11" s="16" t="n">
        <f aca="false">'Raw Data'!I19</f>
        <v>61</v>
      </c>
    </row>
    <row r="12" customFormat="false" ht="15" hidden="false" customHeight="true" outlineLevel="0" collapsed="false">
      <c r="A12" s="3" t="s">
        <v>82</v>
      </c>
      <c r="B12" s="16" t="n">
        <f aca="false">'Raw Data'!J14</f>
        <v>24</v>
      </c>
      <c r="C12" s="16" t="n">
        <f aca="false">'Raw Data'!J15</f>
        <v>26</v>
      </c>
      <c r="D12" s="16" t="n">
        <f aca="false">'Raw Data'!J16</f>
        <v>29</v>
      </c>
      <c r="E12" s="16" t="n">
        <f aca="false">'Raw Data'!J17</f>
        <v>32</v>
      </c>
      <c r="F12" s="16" t="n">
        <f aca="false">'Raw Data'!J18</f>
        <v>36</v>
      </c>
      <c r="G12" s="16" t="n">
        <f aca="false">'Raw Data'!J19</f>
        <v>40</v>
      </c>
    </row>
    <row r="13" customFormat="false" ht="15" hidden="false" customHeight="true" outlineLevel="0" collapsed="false">
      <c r="A13" s="3" t="s">
        <v>83</v>
      </c>
      <c r="B13" s="16" t="n">
        <f aca="false">'Raw Data'!K14</f>
        <v>92</v>
      </c>
      <c r="C13" s="16" t="n">
        <f aca="false">'Raw Data'!K15</f>
        <v>96</v>
      </c>
      <c r="D13" s="16" t="n">
        <f aca="false">'Raw Data'!K16</f>
        <v>101</v>
      </c>
      <c r="E13" s="16" t="n">
        <f aca="false">'Raw Data'!K17</f>
        <v>108</v>
      </c>
      <c r="F13" s="16" t="n">
        <f aca="false">'Raw Data'!K18</f>
        <v>116</v>
      </c>
      <c r="G13" s="16" t="n">
        <f aca="false">'Raw Data'!K19</f>
        <v>124</v>
      </c>
    </row>
    <row r="14" customFormat="false" ht="15" hidden="false" customHeight="true" outlineLevel="0" collapsed="false">
      <c r="A14" s="3" t="s">
        <v>84</v>
      </c>
      <c r="B14" s="16" t="n">
        <f aca="false">'Raw Data'!L14</f>
        <v>19</v>
      </c>
      <c r="C14" s="16" t="n">
        <f aca="false">'Raw Data'!L15</f>
        <v>21</v>
      </c>
      <c r="D14" s="16" t="n">
        <f aca="false">'Raw Data'!L16</f>
        <v>23</v>
      </c>
      <c r="E14" s="16" t="n">
        <f aca="false">'Raw Data'!L17</f>
        <v>26</v>
      </c>
      <c r="F14" s="16" t="n">
        <f aca="false">'Raw Data'!L18</f>
        <v>29</v>
      </c>
      <c r="G14" s="16" t="n">
        <f aca="false">'Raw Data'!L19</f>
        <v>33</v>
      </c>
    </row>
    <row r="15" customFormat="false" ht="15" hidden="false" customHeight="true" outlineLevel="0" collapsed="false">
      <c r="A15" s="3" t="s">
        <v>108</v>
      </c>
      <c r="B15" s="16" t="n">
        <f aca="false">SUM(B4:B9)</f>
        <v>375</v>
      </c>
      <c r="C15" s="16" t="n">
        <f aca="false">SUM(C4:C9)</f>
        <v>409</v>
      </c>
      <c r="D15" s="16" t="n">
        <f aca="false">SUM(D4:D9)</f>
        <v>455</v>
      </c>
      <c r="E15" s="16" t="n">
        <f aca="false">SUM(E4:E9)</f>
        <v>511</v>
      </c>
      <c r="F15" s="16" t="n">
        <f aca="false">SUM(F4:F9)</f>
        <v>590</v>
      </c>
      <c r="G15" s="16" t="n">
        <f aca="false">SUM(G4:G9)</f>
        <v>682</v>
      </c>
    </row>
    <row r="16" customFormat="false" ht="15" hidden="false" customHeight="true" outlineLevel="0" collapsed="false">
      <c r="A16" s="3" t="s">
        <v>109</v>
      </c>
      <c r="B16" s="16" t="n">
        <f aca="false">SUM(B10:B14)</f>
        <v>220</v>
      </c>
      <c r="C16" s="16" t="n">
        <f aca="false">SUM(C10:C14)</f>
        <v>237</v>
      </c>
      <c r="D16" s="16" t="n">
        <f aca="false">SUM(D10:D14)</f>
        <v>259</v>
      </c>
      <c r="E16" s="16" t="n">
        <f aca="false">SUM(E10:E14)</f>
        <v>287</v>
      </c>
      <c r="F16" s="16" t="n">
        <f aca="false">SUM(F10:F14)</f>
        <v>322</v>
      </c>
      <c r="G16" s="16" t="n">
        <f aca="false">SUM(G10:G14)</f>
        <v>361</v>
      </c>
    </row>
    <row r="17" customFormat="false" ht="15" hidden="false" customHeight="true" outlineLevel="0" collapsed="false">
      <c r="A17" s="3" t="s">
        <v>110</v>
      </c>
      <c r="B17" s="16" t="n">
        <f aca="false">B15-B16</f>
        <v>155</v>
      </c>
      <c r="C17" s="16" t="n">
        <f aca="false">C15-C16</f>
        <v>172</v>
      </c>
      <c r="D17" s="16" t="n">
        <f aca="false">D15-D16</f>
        <v>196</v>
      </c>
      <c r="E17" s="16" t="n">
        <f aca="false">E15-E16</f>
        <v>224</v>
      </c>
      <c r="F17" s="16" t="n">
        <f aca="false">F15-F16</f>
        <v>268</v>
      </c>
      <c r="G17" s="16" t="n">
        <f aca="false">G15-G16</f>
        <v>321</v>
      </c>
    </row>
    <row r="18" customFormat="false" ht="15" hidden="false" customHeight="true" outlineLevel="0" collapsed="false">
      <c r="A18" s="3" t="s">
        <v>111</v>
      </c>
      <c r="B18" s="16" t="n">
        <f aca="false">B15-B16-B17</f>
        <v>0</v>
      </c>
      <c r="C18" s="16" t="n">
        <f aca="false">C15-C16-C17</f>
        <v>0</v>
      </c>
      <c r="D18" s="16" t="n">
        <f aca="false">D15-D16-D17</f>
        <v>0</v>
      </c>
      <c r="E18" s="16" t="n">
        <f aca="false">E15-E16-E17</f>
        <v>0</v>
      </c>
      <c r="F18" s="16" t="n">
        <f aca="false">F15-F16-F17</f>
        <v>0</v>
      </c>
      <c r="G18" s="16" t="n">
        <f aca="false">G15-G16-G17</f>
        <v>0</v>
      </c>
    </row>
    <row r="19" customFormat="false" ht="15" hidden="false" customHeight="true" outlineLevel="0" collapsed="false">
      <c r="A19" s="3" t="s">
        <v>112</v>
      </c>
      <c r="B19" s="16" t="n">
        <f aca="false">B12+B13</f>
        <v>116</v>
      </c>
      <c r="C19" s="16" t="n">
        <f aca="false">C12+C13</f>
        <v>122</v>
      </c>
      <c r="D19" s="16" t="n">
        <f aca="false">D12+D13</f>
        <v>130</v>
      </c>
      <c r="E19" s="16" t="n">
        <f aca="false">E12+E13</f>
        <v>140</v>
      </c>
      <c r="F19" s="16" t="n">
        <f aca="false">F12+F13</f>
        <v>152</v>
      </c>
      <c r="G19" s="16" t="n">
        <f aca="false">G12+G13</f>
        <v>164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22" t="s">
        <v>113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4"/>
      <c r="B3" s="24" t="n">
        <v>2021</v>
      </c>
      <c r="C3" s="24" t="n">
        <v>2022</v>
      </c>
      <c r="D3" s="24" t="n">
        <v>2023</v>
      </c>
      <c r="E3" s="24" t="n">
        <v>2024</v>
      </c>
      <c r="F3" s="24" t="n">
        <v>2025</v>
      </c>
      <c r="G3" s="24" t="n">
        <v>2026</v>
      </c>
    </row>
    <row r="4" customFormat="false" ht="15" hidden="false" customHeight="true" outlineLevel="0" collapsed="false">
      <c r="A4" s="3" t="s">
        <v>105</v>
      </c>
      <c r="B4" s="16" t="n">
        <f aca="false">'Income Statement'!B14</f>
        <v>35</v>
      </c>
      <c r="C4" s="16" t="n">
        <f aca="false">'Income Statement'!C14</f>
        <v>40</v>
      </c>
      <c r="D4" s="16" t="n">
        <f aca="false">'Income Statement'!D14</f>
        <v>46</v>
      </c>
      <c r="E4" s="16" t="n">
        <f aca="false">'Income Statement'!E14</f>
        <v>60</v>
      </c>
      <c r="F4" s="16" t="n">
        <f aca="false">'Income Statement'!F14</f>
        <v>69</v>
      </c>
      <c r="G4" s="16" t="n">
        <f aca="false">'Income Statement'!G14</f>
        <v>85</v>
      </c>
    </row>
    <row r="5" customFormat="false" ht="15" hidden="false" customHeight="true" outlineLevel="0" collapsed="false">
      <c r="A5" s="3" t="s">
        <v>70</v>
      </c>
      <c r="B5" s="16" t="n">
        <f aca="false">'Income Statement'!B9</f>
        <v>12</v>
      </c>
      <c r="C5" s="16" t="n">
        <f aca="false">'Income Statement'!C9</f>
        <v>13</v>
      </c>
      <c r="D5" s="16" t="n">
        <f aca="false">'Income Statement'!D9</f>
        <v>15</v>
      </c>
      <c r="E5" s="16" t="n">
        <f aca="false">'Income Statement'!E9</f>
        <v>17</v>
      </c>
      <c r="F5" s="16" t="n">
        <f aca="false">'Income Statement'!F9</f>
        <v>20</v>
      </c>
      <c r="G5" s="16" t="n">
        <f aca="false">'Income Statement'!G9</f>
        <v>23</v>
      </c>
    </row>
    <row r="6" customFormat="false" ht="15" hidden="false" customHeight="true" outlineLevel="0" collapsed="false">
      <c r="A6" s="3" t="s">
        <v>96</v>
      </c>
      <c r="B6" s="16" t="n">
        <f aca="false">'Raw Data'!C41</f>
        <v>8</v>
      </c>
      <c r="C6" s="16" t="n">
        <f aca="false">'Raw Data'!C42</f>
        <v>6</v>
      </c>
      <c r="D6" s="16" t="n">
        <f aca="false">'Raw Data'!C43</f>
        <v>9</v>
      </c>
      <c r="E6" s="16" t="n">
        <f aca="false">'Raw Data'!C44</f>
        <v>11</v>
      </c>
      <c r="F6" s="16" t="n">
        <f aca="false">'Raw Data'!C45</f>
        <v>14</v>
      </c>
      <c r="G6" s="16" t="n">
        <f aca="false">'Raw Data'!C46</f>
        <v>16</v>
      </c>
    </row>
    <row r="7" customFormat="false" ht="15" hidden="false" customHeight="true" outlineLevel="0" collapsed="false">
      <c r="A7" s="3" t="s">
        <v>97</v>
      </c>
      <c r="B7" s="16" t="n">
        <f aca="false">'Raw Data'!D41</f>
        <v>4</v>
      </c>
      <c r="C7" s="16" t="n">
        <f aca="false">'Raw Data'!D42</f>
        <v>5</v>
      </c>
      <c r="D7" s="16" t="n">
        <f aca="false">'Raw Data'!D43</f>
        <v>6</v>
      </c>
      <c r="E7" s="16" t="n">
        <f aca="false">'Raw Data'!D44</f>
        <v>7</v>
      </c>
      <c r="F7" s="16" t="n">
        <f aca="false">'Raw Data'!D45</f>
        <v>9</v>
      </c>
      <c r="G7" s="16" t="n">
        <f aca="false">'Raw Data'!D46</f>
        <v>10</v>
      </c>
    </row>
    <row r="8" customFormat="false" ht="15" hidden="false" customHeight="true" outlineLevel="0" collapsed="false">
      <c r="A8" s="3" t="s">
        <v>114</v>
      </c>
      <c r="B8" s="16" t="n">
        <f aca="false">SUM(B4:B7)</f>
        <v>59</v>
      </c>
      <c r="C8" s="16" t="n">
        <f aca="false">SUM(C4:C7)</f>
        <v>64</v>
      </c>
      <c r="D8" s="16" t="n">
        <f aca="false">SUM(D4:D7)</f>
        <v>76</v>
      </c>
      <c r="E8" s="16" t="n">
        <f aca="false">SUM(E4:E7)</f>
        <v>95</v>
      </c>
      <c r="F8" s="16" t="n">
        <f aca="false">SUM(F4:F7)</f>
        <v>112</v>
      </c>
      <c r="G8" s="16" t="n">
        <f aca="false">SUM(G4:G7)</f>
        <v>134</v>
      </c>
    </row>
    <row r="9" customFormat="false" ht="15" hidden="false" customHeight="true" outlineLevel="0" collapsed="false">
      <c r="A9" s="3" t="s">
        <v>95</v>
      </c>
      <c r="B9" s="16" t="n">
        <f aca="false">'Raw Data'!B41</f>
        <v>22</v>
      </c>
      <c r="C9" s="16" t="n">
        <f aca="false">'Raw Data'!B42</f>
        <v>25</v>
      </c>
      <c r="D9" s="16" t="n">
        <f aca="false">'Raw Data'!B43</f>
        <v>28</v>
      </c>
      <c r="E9" s="16" t="n">
        <f aca="false">'Raw Data'!B44</f>
        <v>31</v>
      </c>
      <c r="F9" s="16" t="n">
        <f aca="false">'Raw Data'!B45</f>
        <v>38</v>
      </c>
      <c r="G9" s="16" t="n">
        <f aca="false">'Raw Data'!B46</f>
        <v>45</v>
      </c>
    </row>
    <row r="10" customFormat="false" ht="15" hidden="false" customHeight="true" outlineLevel="0" collapsed="false">
      <c r="A10" s="3" t="s">
        <v>115</v>
      </c>
      <c r="B10" s="16" t="n">
        <f aca="false">B8-B9</f>
        <v>37</v>
      </c>
      <c r="C10" s="16" t="n">
        <f aca="false">C8-C9</f>
        <v>39</v>
      </c>
      <c r="D10" s="16" t="n">
        <f aca="false">D8-D9</f>
        <v>48</v>
      </c>
      <c r="E10" s="16" t="n">
        <f aca="false">E8-E9</f>
        <v>64</v>
      </c>
      <c r="F10" s="16" t="n">
        <f aca="false">F8-F9</f>
        <v>74</v>
      </c>
      <c r="G10" s="16" t="n">
        <f aca="false">G8-G9</f>
        <v>89</v>
      </c>
    </row>
    <row r="11" customFormat="false" ht="15" hidden="false" customHeight="true" outlineLevel="0" collapsed="false">
      <c r="A11" s="3" t="s">
        <v>98</v>
      </c>
      <c r="B11" s="16" t="n">
        <f aca="false">'Raw Data'!E41</f>
        <v>12</v>
      </c>
      <c r="C11" s="16" t="n">
        <f aca="false">'Raw Data'!E42</f>
        <v>10</v>
      </c>
      <c r="D11" s="16" t="n">
        <f aca="false">'Raw Data'!E43</f>
        <v>9</v>
      </c>
      <c r="E11" s="16" t="n">
        <f aca="false">'Raw Data'!E44</f>
        <v>8</v>
      </c>
      <c r="F11" s="16" t="n">
        <f aca="false">'Raw Data'!E45</f>
        <v>7</v>
      </c>
      <c r="G11" s="16" t="n">
        <f aca="false">'Raw Data'!E46</f>
        <v>6</v>
      </c>
    </row>
    <row r="12" customFormat="false" ht="15" hidden="false" customHeight="true" outlineLevel="0" collapsed="false">
      <c r="A12" s="3" t="s">
        <v>116</v>
      </c>
      <c r="B12" s="16" t="n">
        <f aca="false">B10-B11</f>
        <v>25</v>
      </c>
      <c r="C12" s="16" t="n">
        <f aca="false">C10-C11</f>
        <v>29</v>
      </c>
      <c r="D12" s="16" t="n">
        <f aca="false">D10-D11</f>
        <v>39</v>
      </c>
      <c r="E12" s="16" t="n">
        <f aca="false">E10-E11</f>
        <v>56</v>
      </c>
      <c r="F12" s="16" t="n">
        <f aca="false">F10-F11</f>
        <v>67</v>
      </c>
      <c r="G12" s="16" t="n">
        <f aca="false">G10-G11</f>
        <v>83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22" t="s">
        <v>117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4"/>
      <c r="B3" s="24" t="n">
        <v>2021</v>
      </c>
      <c r="C3" s="24" t="n">
        <v>2022</v>
      </c>
      <c r="D3" s="24" t="n">
        <v>2023</v>
      </c>
      <c r="E3" s="24" t="n">
        <v>2024</v>
      </c>
      <c r="F3" s="24" t="n">
        <v>2025</v>
      </c>
      <c r="G3" s="24" t="n">
        <v>2026</v>
      </c>
    </row>
    <row r="4" customFormat="false" ht="15" hidden="false" customHeight="true" outlineLevel="0" collapsed="false">
      <c r="A4" s="3" t="s">
        <v>118</v>
      </c>
      <c r="B4" s="18"/>
      <c r="C4" s="18" t="n">
        <f aca="false">'Income Statement'!C4/'Income Statement'!B4-1</f>
        <v>0.107142857142857</v>
      </c>
      <c r="D4" s="18" t="n">
        <f aca="false">'Income Statement'!D4/'Income Statement'!C4-1</f>
        <v>0.118279569892473</v>
      </c>
      <c r="E4" s="18" t="n">
        <f aca="false">'Income Statement'!E4/'Income Statement'!D4-1</f>
        <v>0.134615384615385</v>
      </c>
      <c r="F4" s="18" t="n">
        <f aca="false">'Income Statement'!F4/'Income Statement'!E4-1</f>
        <v>0.14406779661017</v>
      </c>
      <c r="G4" s="18" t="n">
        <f aca="false">'Income Statement'!G4/'Income Statement'!F4-1</f>
        <v>0.155555555555555</v>
      </c>
    </row>
    <row r="5" customFormat="false" ht="15" hidden="false" customHeight="true" outlineLevel="0" collapsed="false">
      <c r="A5" s="3" t="s">
        <v>106</v>
      </c>
      <c r="B5" s="18" t="n">
        <f aca="false">'Income Statement'!B15</f>
        <v>0.35</v>
      </c>
      <c r="C5" s="18" t="n">
        <f aca="false">'Income Statement'!C15</f>
        <v>0.354838709677419</v>
      </c>
      <c r="D5" s="18" t="n">
        <f aca="false">'Income Statement'!D15</f>
        <v>0.359615384615385</v>
      </c>
      <c r="E5" s="18" t="n">
        <f aca="false">'Income Statement'!E15</f>
        <v>0.369491525423729</v>
      </c>
      <c r="F5" s="18" t="n">
        <f aca="false">'Income Statement'!F15</f>
        <v>0.37037037037037</v>
      </c>
      <c r="G5" s="18" t="n">
        <f aca="false">'Income Statement'!G15</f>
        <v>0.374358974358974</v>
      </c>
    </row>
    <row r="6" customFormat="false" ht="15" hidden="false" customHeight="true" outlineLevel="0" collapsed="false">
      <c r="A6" s="3" t="s">
        <v>38</v>
      </c>
      <c r="B6" s="18" t="n">
        <f aca="false">'Income Statement'!B16</f>
        <v>0.154761904761905</v>
      </c>
      <c r="C6" s="18" t="n">
        <f aca="false">'Income Statement'!C16</f>
        <v>0.159139784946237</v>
      </c>
      <c r="D6" s="18" t="n">
        <f aca="false">'Income Statement'!D16</f>
        <v>0.165384615384615</v>
      </c>
      <c r="E6" s="18" t="n">
        <f aca="false">'Income Statement'!E16</f>
        <v>0.179661016949153</v>
      </c>
      <c r="F6" s="18" t="n">
        <f aca="false">'Income Statement'!F16</f>
        <v>0.185185185185185</v>
      </c>
      <c r="G6" s="18" t="n">
        <f aca="false">'Income Statement'!G16</f>
        <v>0.192307692307692</v>
      </c>
    </row>
    <row r="7" customFormat="false" ht="15" hidden="false" customHeight="true" outlineLevel="0" collapsed="false">
      <c r="A7" s="3" t="s">
        <v>107</v>
      </c>
      <c r="B7" s="18" t="n">
        <f aca="false">'Income Statement'!B17</f>
        <v>0.126190476190476</v>
      </c>
      <c r="C7" s="18" t="n">
        <f aca="false">'Income Statement'!C17</f>
        <v>0.131182795698925</v>
      </c>
      <c r="D7" s="18" t="n">
        <f aca="false">'Income Statement'!D17</f>
        <v>0.136538461538462</v>
      </c>
      <c r="E7" s="18" t="n">
        <f aca="false">'Income Statement'!E17</f>
        <v>0.150847457627119</v>
      </c>
      <c r="F7" s="18" t="n">
        <f aca="false">'Income Statement'!F17</f>
        <v>0.155555555555556</v>
      </c>
      <c r="G7" s="18" t="n">
        <f aca="false">'Income Statement'!G17</f>
        <v>0.162820512820513</v>
      </c>
    </row>
    <row r="8" customFormat="false" ht="15" hidden="false" customHeight="true" outlineLevel="0" collapsed="false">
      <c r="A8" s="3" t="s">
        <v>40</v>
      </c>
      <c r="B8" s="18" t="n">
        <f aca="false">'Income Statement'!B18</f>
        <v>0.0833333333333333</v>
      </c>
      <c r="C8" s="18" t="n">
        <f aca="false">'Income Statement'!C18</f>
        <v>0.0860215053763441</v>
      </c>
      <c r="D8" s="18" t="n">
        <f aca="false">'Income Statement'!D18</f>
        <v>0.0884615384615385</v>
      </c>
      <c r="E8" s="18" t="n">
        <f aca="false">'Income Statement'!E18</f>
        <v>0.101694915254237</v>
      </c>
      <c r="F8" s="18" t="n">
        <f aca="false">'Income Statement'!F18</f>
        <v>0.102222222222222</v>
      </c>
      <c r="G8" s="18" t="n">
        <f aca="false">'Income Statement'!G18</f>
        <v>0.108974358974359</v>
      </c>
    </row>
    <row r="9" customFormat="false" ht="15" hidden="false" customHeight="true" outlineLevel="0" collapsed="false">
      <c r="A9" s="3" t="s">
        <v>119</v>
      </c>
      <c r="B9" s="25" t="n">
        <f aca="false">('Balance Sheet'!B4+'Balance Sheet'!B5+'Balance Sheet'!B6+'Balance Sheet'!B7)/('Balance Sheet'!B10+'Balance Sheet'!B11+'Balance Sheet'!B12)</f>
        <v>1.76146788990826</v>
      </c>
      <c r="C9" s="25" t="n">
        <f aca="false">('Balance Sheet'!C4+'Balance Sheet'!C5+'Balance Sheet'!C6+'Balance Sheet'!C7)/('Balance Sheet'!C10+'Balance Sheet'!C11+'Balance Sheet'!C12)</f>
        <v>1.78333333333333</v>
      </c>
      <c r="D9" s="25" t="n">
        <f aca="false">('Balance Sheet'!D4+'Balance Sheet'!D5+'Balance Sheet'!D6+'Balance Sheet'!D7)/('Balance Sheet'!D10+'Balance Sheet'!D11+'Balance Sheet'!D12)</f>
        <v>1.79259259259259</v>
      </c>
      <c r="E9" s="25" t="n">
        <f aca="false">('Balance Sheet'!E4+'Balance Sheet'!E5+'Balance Sheet'!E6+'Balance Sheet'!E7)/('Balance Sheet'!E10+'Balance Sheet'!E11+'Balance Sheet'!E12)</f>
        <v>1.81699346405229</v>
      </c>
      <c r="F9" s="25" t="n">
        <f aca="false">('Balance Sheet'!F4+'Balance Sheet'!F5+'Balance Sheet'!F6+'Balance Sheet'!F7)/('Balance Sheet'!F10+'Balance Sheet'!F11+'Balance Sheet'!F12)</f>
        <v>1.85310734463277</v>
      </c>
      <c r="G9" s="25" t="n">
        <f aca="false">('Balance Sheet'!G4+'Balance Sheet'!G5+'Balance Sheet'!G6+'Balance Sheet'!G7)/('Balance Sheet'!G10+'Balance Sheet'!G11+'Balance Sheet'!G12)</f>
        <v>1.8921568627451</v>
      </c>
    </row>
    <row r="10" customFormat="false" ht="15" hidden="false" customHeight="true" outlineLevel="0" collapsed="false">
      <c r="A10" s="3" t="s">
        <v>120</v>
      </c>
      <c r="B10" s="25" t="n">
        <f aca="false">('Balance Sheet'!B12+'Balance Sheet'!B13+'Balance Sheet'!B14)/'Balance Sheet'!B17</f>
        <v>0.870967741935484</v>
      </c>
      <c r="C10" s="25" t="n">
        <f aca="false">('Balance Sheet'!C12+'Balance Sheet'!C13+'Balance Sheet'!C14)/'Balance Sheet'!C17</f>
        <v>0.831395348837209</v>
      </c>
      <c r="D10" s="25" t="n">
        <f aca="false">('Balance Sheet'!D12+'Balance Sheet'!D13+'Balance Sheet'!D14)/'Balance Sheet'!D17</f>
        <v>0.780612244897959</v>
      </c>
      <c r="E10" s="25" t="n">
        <f aca="false">('Balance Sheet'!E12+'Balance Sheet'!E13+'Balance Sheet'!E14)/'Balance Sheet'!E17</f>
        <v>0.741071428571429</v>
      </c>
      <c r="F10" s="25" t="n">
        <f aca="false">('Balance Sheet'!F12+'Balance Sheet'!F13+'Balance Sheet'!F14)/'Balance Sheet'!F17</f>
        <v>0.675373134328358</v>
      </c>
      <c r="G10" s="25" t="n">
        <f aca="false">('Balance Sheet'!G12+'Balance Sheet'!G13+'Balance Sheet'!G14)/'Balance Sheet'!G17</f>
        <v>0.613707165109034</v>
      </c>
    </row>
    <row r="11" customFormat="false" ht="15" hidden="false" customHeight="true" outlineLevel="0" collapsed="false">
      <c r="A11" s="3" t="s">
        <v>43</v>
      </c>
      <c r="B11" s="25" t="n">
        <f aca="false">('Balance Sheet'!B12+'Balance Sheet'!B13+'Balance Sheet'!B14)/'Income Statement'!B8</f>
        <v>2.07692307692308</v>
      </c>
      <c r="C11" s="25" t="n">
        <f aca="false">('Balance Sheet'!C12+'Balance Sheet'!C13+'Balance Sheet'!C14)/'Income Statement'!C8</f>
        <v>1.93243243243243</v>
      </c>
      <c r="D11" s="25" t="n">
        <f aca="false">('Balance Sheet'!D12+'Balance Sheet'!D13+'Balance Sheet'!D14)/'Income Statement'!D8</f>
        <v>1.77906976744186</v>
      </c>
      <c r="E11" s="25" t="n">
        <f aca="false">('Balance Sheet'!E12+'Balance Sheet'!E13+'Balance Sheet'!E14)/'Income Statement'!E8</f>
        <v>1.56603773584906</v>
      </c>
      <c r="F11" s="25" t="n">
        <f aca="false">('Balance Sheet'!F12+'Balance Sheet'!F13+'Balance Sheet'!F14)/'Income Statement'!F8</f>
        <v>1.448</v>
      </c>
      <c r="G11" s="25" t="n">
        <f aca="false">('Balance Sheet'!G12+'Balance Sheet'!G13+'Balance Sheet'!G14)/'Income Statement'!G8</f>
        <v>1.31333333333333</v>
      </c>
    </row>
    <row r="12" customFormat="false" ht="15" hidden="false" customHeight="true" outlineLevel="0" collapsed="false">
      <c r="A12" s="3" t="s">
        <v>121</v>
      </c>
      <c r="B12" s="25" t="n">
        <f aca="false">'Income Statement'!B10/'Income Statement'!B11</f>
        <v>5.3</v>
      </c>
      <c r="C12" s="25" t="n">
        <f aca="false">'Income Statement'!C10/'Income Statement'!C11</f>
        <v>5.54545454545455</v>
      </c>
      <c r="D12" s="25" t="n">
        <f aca="false">'Income Statement'!D10/'Income Statement'!D11</f>
        <v>5.91666666666667</v>
      </c>
      <c r="E12" s="25" t="n">
        <f aca="false">'Income Statement'!E10/'Income Statement'!E11</f>
        <v>6.84615384615385</v>
      </c>
      <c r="F12" s="25" t="n">
        <f aca="false">'Income Statement'!F10/'Income Statement'!F11</f>
        <v>7</v>
      </c>
      <c r="G12" s="25" t="n">
        <f aca="false">'Income Statement'!G10/'Income Statement'!G11</f>
        <v>7.47058823529412</v>
      </c>
    </row>
    <row r="13" customFormat="false" ht="15" hidden="false" customHeight="true" outlineLevel="0" collapsed="false">
      <c r="A13" s="3" t="s">
        <v>122</v>
      </c>
      <c r="B13" s="25" t="n">
        <f aca="false">'Income Statement'!B14/'Balance Sheet'!B15</f>
        <v>0.0933333333333333</v>
      </c>
      <c r="C13" s="25" t="n">
        <f aca="false">'Income Statement'!C14/'Balance Sheet'!C15</f>
        <v>0.097799511002445</v>
      </c>
      <c r="D13" s="25" t="n">
        <f aca="false">'Income Statement'!D14/'Balance Sheet'!D15</f>
        <v>0.101098901098901</v>
      </c>
      <c r="E13" s="25" t="n">
        <f aca="false">'Income Statement'!E14/'Balance Sheet'!E15</f>
        <v>0.117416829745597</v>
      </c>
      <c r="F13" s="25" t="n">
        <f aca="false">'Income Statement'!F14/'Balance Sheet'!F15</f>
        <v>0.116949152542373</v>
      </c>
      <c r="G13" s="25" t="n">
        <f aca="false">'Income Statement'!G14/'Balance Sheet'!G15</f>
        <v>0.124633431085044</v>
      </c>
    </row>
    <row r="14" customFormat="false" ht="15" hidden="false" customHeight="true" outlineLevel="0" collapsed="false">
      <c r="A14" s="3" t="s">
        <v>123</v>
      </c>
      <c r="B14" s="25" t="n">
        <f aca="false">'Income Statement'!B14/'Balance Sheet'!B17</f>
        <v>0.225806451612903</v>
      </c>
      <c r="C14" s="25" t="n">
        <f aca="false">'Income Statement'!C14/'Balance Sheet'!C17</f>
        <v>0.232558139534884</v>
      </c>
      <c r="D14" s="25" t="n">
        <f aca="false">'Income Statement'!D14/'Balance Sheet'!D17</f>
        <v>0.23469387755102</v>
      </c>
      <c r="E14" s="25" t="n">
        <f aca="false">'Income Statement'!E14/'Balance Sheet'!E17</f>
        <v>0.267857142857143</v>
      </c>
      <c r="F14" s="25" t="n">
        <f aca="false">'Income Statement'!F14/'Balance Sheet'!F17</f>
        <v>0.257462686567164</v>
      </c>
      <c r="G14" s="25" t="n">
        <f aca="false">'Income Statement'!G14/'Balance Sheet'!G17</f>
        <v>0.264797507788162</v>
      </c>
    </row>
    <row r="15" customFormat="false" ht="15" hidden="false" customHeight="true" outlineLevel="0" collapsed="false">
      <c r="A15" s="3" t="s">
        <v>124</v>
      </c>
      <c r="B15" s="18" t="n">
        <f aca="false">'Cash Flow'!B10/'Income Statement'!B4</f>
        <v>0.0880952380952381</v>
      </c>
      <c r="C15" s="18" t="n">
        <f aca="false">'Cash Flow'!C10/'Income Statement'!C4</f>
        <v>0.0838709677419355</v>
      </c>
      <c r="D15" s="18" t="n">
        <f aca="false">'Cash Flow'!D10/'Income Statement'!D4</f>
        <v>0.0923076923076923</v>
      </c>
      <c r="E15" s="18" t="n">
        <f aca="false">'Cash Flow'!E10/'Income Statement'!E4</f>
        <v>0.108474576271186</v>
      </c>
      <c r="F15" s="18" t="n">
        <f aca="false">'Cash Flow'!F10/'Income Statement'!F4</f>
        <v>0.10962962962963</v>
      </c>
      <c r="G15" s="18" t="n">
        <f aca="false">'Cash Flow'!G10/'Income Statement'!G4</f>
        <v>0.114102564102564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22" t="s">
        <v>18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4"/>
      <c r="B3" s="24" t="n">
        <v>2021</v>
      </c>
      <c r="C3" s="24" t="n">
        <v>2022</v>
      </c>
      <c r="D3" s="24" t="n">
        <v>2023</v>
      </c>
      <c r="E3" s="24" t="n">
        <v>2024</v>
      </c>
      <c r="F3" s="24" t="n">
        <v>2025</v>
      </c>
      <c r="G3" s="24" t="n">
        <v>2026</v>
      </c>
    </row>
    <row r="4" customFormat="false" ht="15" hidden="false" customHeight="true" outlineLevel="0" collapsed="false">
      <c r="A4" s="3" t="s">
        <v>86</v>
      </c>
      <c r="B4" s="16" t="n">
        <f aca="false">'Raw Data'!B23</f>
        <v>170</v>
      </c>
      <c r="C4" s="16" t="n">
        <f aca="false">'Raw Data'!B24</f>
        <v>190</v>
      </c>
      <c r="D4" s="16" t="n">
        <f aca="false">'Raw Data'!B25</f>
        <v>214</v>
      </c>
      <c r="E4" s="16" t="n">
        <f aca="false">'Raw Data'!B26</f>
        <v>244</v>
      </c>
      <c r="F4" s="16" t="n">
        <f aca="false">'Raw Data'!B27</f>
        <v>281</v>
      </c>
      <c r="G4" s="16" t="n">
        <f aca="false">'Raw Data'!B28</f>
        <v>327</v>
      </c>
    </row>
    <row r="5" customFormat="false" ht="15" hidden="false" customHeight="true" outlineLevel="0" collapsed="false">
      <c r="A5" s="3" t="s">
        <v>87</v>
      </c>
      <c r="B5" s="16" t="n">
        <f aca="false">'Raw Data'!C23</f>
        <v>135</v>
      </c>
      <c r="C5" s="16" t="n">
        <f aca="false">'Raw Data'!C24</f>
        <v>149</v>
      </c>
      <c r="D5" s="16" t="n">
        <f aca="false">'Raw Data'!C25</f>
        <v>166</v>
      </c>
      <c r="E5" s="16" t="n">
        <f aca="false">'Raw Data'!C26</f>
        <v>188</v>
      </c>
      <c r="F5" s="16" t="n">
        <f aca="false">'Raw Data'!C27</f>
        <v>215</v>
      </c>
      <c r="G5" s="16" t="n">
        <f aca="false">'Raw Data'!C28</f>
        <v>248</v>
      </c>
    </row>
    <row r="6" customFormat="false" ht="15" hidden="false" customHeight="true" outlineLevel="0" collapsed="false">
      <c r="A6" s="3" t="s">
        <v>88</v>
      </c>
      <c r="B6" s="16" t="n">
        <f aca="false">'Raw Data'!D23</f>
        <v>115</v>
      </c>
      <c r="C6" s="16" t="n">
        <f aca="false">'Raw Data'!D24</f>
        <v>126</v>
      </c>
      <c r="D6" s="16" t="n">
        <f aca="false">'Raw Data'!D25</f>
        <v>140</v>
      </c>
      <c r="E6" s="16" t="n">
        <f aca="false">'Raw Data'!D26</f>
        <v>158</v>
      </c>
      <c r="F6" s="16" t="n">
        <f aca="false">'Raw Data'!D27</f>
        <v>179</v>
      </c>
      <c r="G6" s="16" t="n">
        <f aca="false">'Raw Data'!D28</f>
        <v>205</v>
      </c>
    </row>
    <row r="7" customFormat="false" ht="15" hidden="false" customHeight="true" outlineLevel="0" collapsed="false">
      <c r="A7" s="3" t="s">
        <v>125</v>
      </c>
      <c r="B7" s="16" t="n">
        <f aca="false">SUM(B4:B6)</f>
        <v>420</v>
      </c>
      <c r="C7" s="16" t="n">
        <f aca="false">SUM(C4:C6)</f>
        <v>465</v>
      </c>
      <c r="D7" s="16" t="n">
        <f aca="false">SUM(D4:D6)</f>
        <v>520</v>
      </c>
      <c r="E7" s="16" t="n">
        <f aca="false">SUM(E4:E6)</f>
        <v>590</v>
      </c>
      <c r="F7" s="16" t="n">
        <f aca="false">SUM(F4:F6)</f>
        <v>675</v>
      </c>
      <c r="G7" s="16" t="n">
        <f aca="false">SUM(G4:G6)</f>
        <v>780</v>
      </c>
    </row>
    <row r="8" customFormat="false" ht="15" hidden="false" customHeight="true" outlineLevel="0" collapsed="false">
      <c r="A8" s="3" t="s">
        <v>126</v>
      </c>
      <c r="B8" s="18" t="n">
        <f aca="false">B4/B7</f>
        <v>0.404761904761905</v>
      </c>
      <c r="C8" s="18" t="n">
        <f aca="false">C4/C7</f>
        <v>0.408602150537634</v>
      </c>
      <c r="D8" s="18" t="n">
        <f aca="false">D4/D7</f>
        <v>0.411538461538462</v>
      </c>
      <c r="E8" s="18" t="n">
        <f aca="false">E4/E7</f>
        <v>0.413559322033898</v>
      </c>
      <c r="F8" s="18" t="n">
        <f aca="false">F4/F7</f>
        <v>0.416296296296296</v>
      </c>
      <c r="G8" s="18" t="n">
        <f aca="false">G4/G7</f>
        <v>0.419230769230769</v>
      </c>
    </row>
    <row r="9" customFormat="false" ht="15" hidden="false" customHeight="true" outlineLevel="0" collapsed="false">
      <c r="A9" s="3" t="s">
        <v>127</v>
      </c>
      <c r="B9" s="18" t="n">
        <f aca="false">B5/B7</f>
        <v>0.321428571428571</v>
      </c>
      <c r="C9" s="18" t="n">
        <f aca="false">C5/C7</f>
        <v>0.320430107526882</v>
      </c>
      <c r="D9" s="18" t="n">
        <f aca="false">D5/D7</f>
        <v>0.319230769230769</v>
      </c>
      <c r="E9" s="18" t="n">
        <f aca="false">E5/E7</f>
        <v>0.31864406779661</v>
      </c>
      <c r="F9" s="18" t="n">
        <f aca="false">F5/F7</f>
        <v>0.318518518518519</v>
      </c>
      <c r="G9" s="18" t="n">
        <f aca="false">G5/G7</f>
        <v>0.317948717948718</v>
      </c>
    </row>
    <row r="10" customFormat="false" ht="15" hidden="false" customHeight="true" outlineLevel="0" collapsed="false">
      <c r="A10" s="3" t="s">
        <v>128</v>
      </c>
      <c r="B10" s="18" t="n">
        <f aca="false">B6/B7</f>
        <v>0.273809523809524</v>
      </c>
      <c r="C10" s="18" t="n">
        <f aca="false">C6/C7</f>
        <v>0.270967741935484</v>
      </c>
      <c r="D10" s="18" t="n">
        <f aca="false">D6/D7</f>
        <v>0.269230769230769</v>
      </c>
      <c r="E10" s="18" t="n">
        <f aca="false">E6/E7</f>
        <v>0.267796610169492</v>
      </c>
      <c r="F10" s="18" t="n">
        <f aca="false">F6/F7</f>
        <v>0.265185185185185</v>
      </c>
      <c r="G10" s="18" t="n">
        <f aca="false">G6/G7</f>
        <v>0.262820512820513</v>
      </c>
    </row>
    <row r="12" customFormat="false" ht="15" hidden="false" customHeight="true" outlineLevel="0" collapsed="false">
      <c r="A12" s="5"/>
    </row>
    <row r="13" customFormat="false" ht="15" hidden="false" customHeight="true" outlineLevel="0" collapsed="false">
      <c r="A13" s="5" t="s">
        <v>89</v>
      </c>
    </row>
    <row r="14" customFormat="false" ht="15" hidden="false" customHeight="true" outlineLevel="0" collapsed="false">
      <c r="B14" s="24" t="n">
        <v>2021</v>
      </c>
      <c r="C14" s="24" t="n">
        <v>2022</v>
      </c>
      <c r="D14" s="24" t="n">
        <v>2023</v>
      </c>
      <c r="E14" s="24" t="n">
        <v>2024</v>
      </c>
      <c r="F14" s="24" t="n">
        <v>2025</v>
      </c>
      <c r="G14" s="24" t="n">
        <v>2026</v>
      </c>
    </row>
    <row r="15" customFormat="false" ht="15" hidden="false" customHeight="true" outlineLevel="0" collapsed="false">
      <c r="A15" s="3" t="s">
        <v>90</v>
      </c>
      <c r="B15" s="16" t="n">
        <f aca="false">'Raw Data'!B32</f>
        <v>300</v>
      </c>
      <c r="C15" s="16" t="n">
        <f aca="false">'Raw Data'!B33</f>
        <v>330</v>
      </c>
      <c r="D15" s="16" t="n">
        <f aca="false">'Raw Data'!B34</f>
        <v>370</v>
      </c>
      <c r="E15" s="16" t="n">
        <f aca="false">'Raw Data'!B35</f>
        <v>420</v>
      </c>
      <c r="F15" s="16" t="n">
        <f aca="false">'Raw Data'!B36</f>
        <v>485</v>
      </c>
      <c r="G15" s="16" t="n">
        <f aca="false">'Raw Data'!B37</f>
        <v>560</v>
      </c>
    </row>
    <row r="16" customFormat="false" ht="15" hidden="false" customHeight="true" outlineLevel="0" collapsed="false">
      <c r="A16" s="3" t="s">
        <v>91</v>
      </c>
      <c r="B16" s="16" t="n">
        <f aca="false">'Raw Data'!C32</f>
        <v>55</v>
      </c>
      <c r="C16" s="16" t="n">
        <f aca="false">'Raw Data'!C33</f>
        <v>61</v>
      </c>
      <c r="D16" s="16" t="n">
        <f aca="false">'Raw Data'!C34</f>
        <v>68</v>
      </c>
      <c r="E16" s="16" t="n">
        <f aca="false">'Raw Data'!C35</f>
        <v>76</v>
      </c>
      <c r="F16" s="16" t="n">
        <f aca="false">'Raw Data'!C36</f>
        <v>86</v>
      </c>
      <c r="G16" s="16" t="n">
        <f aca="false">'Raw Data'!C37</f>
        <v>98</v>
      </c>
    </row>
    <row r="17" customFormat="false" ht="15" hidden="false" customHeight="true" outlineLevel="0" collapsed="false">
      <c r="A17" s="3" t="s">
        <v>92</v>
      </c>
      <c r="B17" s="16" t="n">
        <f aca="false">'Raw Data'!D32</f>
        <v>40</v>
      </c>
      <c r="C17" s="16" t="n">
        <f aca="false">'Raw Data'!D33</f>
        <v>44</v>
      </c>
      <c r="D17" s="16" t="n">
        <f aca="false">'Raw Data'!D34</f>
        <v>48</v>
      </c>
      <c r="E17" s="16" t="n">
        <f aca="false">'Raw Data'!D35</f>
        <v>54</v>
      </c>
      <c r="F17" s="16" t="n">
        <f aca="false">'Raw Data'!D36</f>
        <v>61</v>
      </c>
      <c r="G17" s="16" t="n">
        <f aca="false">'Raw Data'!D37</f>
        <v>70</v>
      </c>
    </row>
    <row r="18" customFormat="false" ht="15" hidden="false" customHeight="true" outlineLevel="0" collapsed="false">
      <c r="A18" s="3" t="s">
        <v>93</v>
      </c>
      <c r="B18" s="16" t="n">
        <f aca="false">'Raw Data'!E32</f>
        <v>25</v>
      </c>
      <c r="C18" s="16" t="n">
        <f aca="false">'Raw Data'!E33</f>
        <v>30</v>
      </c>
      <c r="D18" s="16" t="n">
        <f aca="false">'Raw Data'!E34</f>
        <v>34</v>
      </c>
      <c r="E18" s="16" t="n">
        <f aca="false">'Raw Data'!E35</f>
        <v>40</v>
      </c>
      <c r="F18" s="16" t="n">
        <f aca="false">'Raw Data'!E36</f>
        <v>43</v>
      </c>
      <c r="G18" s="16" t="n">
        <f aca="false">'Raw Data'!E37</f>
        <v>52</v>
      </c>
    </row>
    <row r="19" customFormat="false" ht="15" hidden="false" customHeight="true" outlineLevel="0" collapsed="false">
      <c r="A19" s="3" t="s">
        <v>129</v>
      </c>
      <c r="B19" s="16" t="n">
        <f aca="false">SUM(B15:B18)</f>
        <v>420</v>
      </c>
      <c r="C19" s="16" t="n">
        <f aca="false">SUM(C15:C18)</f>
        <v>465</v>
      </c>
      <c r="D19" s="16" t="n">
        <f aca="false">SUM(D15:D18)</f>
        <v>520</v>
      </c>
      <c r="E19" s="16" t="n">
        <f aca="false">SUM(E15:E18)</f>
        <v>590</v>
      </c>
      <c r="F19" s="16" t="n">
        <f aca="false">SUM(F15:F18)</f>
        <v>675</v>
      </c>
      <c r="G19" s="16" t="n">
        <f aca="false">SUM(G15:G18)</f>
        <v>780</v>
      </c>
    </row>
    <row r="20" customFormat="false" ht="15" hidden="false" customHeight="true" outlineLevel="0" collapsed="false">
      <c r="A20" s="3" t="s">
        <v>130</v>
      </c>
      <c r="B20" s="18" t="n">
        <f aca="false">B15/B19</f>
        <v>0.714285714285714</v>
      </c>
      <c r="C20" s="18" t="n">
        <f aca="false">C15/C19</f>
        <v>0.709677419354839</v>
      </c>
      <c r="D20" s="18" t="n">
        <f aca="false">D15/D19</f>
        <v>0.711538461538462</v>
      </c>
      <c r="E20" s="18" t="n">
        <f aca="false">E15/E19</f>
        <v>0.711864406779661</v>
      </c>
      <c r="F20" s="18" t="n">
        <f aca="false">F15/F19</f>
        <v>0.718518518518519</v>
      </c>
      <c r="G20" s="18" t="n">
        <f aca="false">G15/G19</f>
        <v>0.717948717948718</v>
      </c>
    </row>
    <row r="21" customFormat="false" ht="15" hidden="false" customHeight="true" outlineLevel="0" collapsed="false">
      <c r="A21" s="3" t="s">
        <v>131</v>
      </c>
      <c r="B21" s="18" t="n">
        <f aca="false">B16/B19</f>
        <v>0.130952380952381</v>
      </c>
      <c r="C21" s="18" t="n">
        <f aca="false">C16/C19</f>
        <v>0.131182795698925</v>
      </c>
      <c r="D21" s="18" t="n">
        <f aca="false">D16/D19</f>
        <v>0.130769230769231</v>
      </c>
      <c r="E21" s="18" t="n">
        <f aca="false">E16/E19</f>
        <v>0.128813559322034</v>
      </c>
      <c r="F21" s="18" t="n">
        <f aca="false">F16/F19</f>
        <v>0.127407407407407</v>
      </c>
      <c r="G21" s="18" t="n">
        <f aca="false">G16/G19</f>
        <v>0.125641025641026</v>
      </c>
    </row>
    <row r="22" customFormat="false" ht="15" hidden="false" customHeight="true" outlineLevel="0" collapsed="false">
      <c r="A22" s="3" t="s">
        <v>132</v>
      </c>
      <c r="B22" s="18" t="n">
        <f aca="false">B17/B19</f>
        <v>0.0952380952380952</v>
      </c>
      <c r="C22" s="18" t="n">
        <f aca="false">C17/C19</f>
        <v>0.0946236559139785</v>
      </c>
      <c r="D22" s="18" t="n">
        <f aca="false">D17/D19</f>
        <v>0.0923076923076923</v>
      </c>
      <c r="E22" s="18" t="n">
        <f aca="false">E17/E19</f>
        <v>0.0915254237288136</v>
      </c>
      <c r="F22" s="18" t="n">
        <f aca="false">F17/F19</f>
        <v>0.0903703703703704</v>
      </c>
      <c r="G22" s="18" t="n">
        <f aca="false">G17/G19</f>
        <v>0.0897435897435897</v>
      </c>
    </row>
    <row r="23" customFormat="false" ht="15" hidden="false" customHeight="true" outlineLevel="0" collapsed="false">
      <c r="A23" s="3" t="s">
        <v>133</v>
      </c>
      <c r="B23" s="18" t="n">
        <f aca="false">B18/B19</f>
        <v>0.0595238095238095</v>
      </c>
      <c r="C23" s="18" t="n">
        <f aca="false">C18/C19</f>
        <v>0.0645161290322581</v>
      </c>
      <c r="D23" s="18" t="n">
        <f aca="false">D18/D19</f>
        <v>0.0653846153846154</v>
      </c>
      <c r="E23" s="18" t="n">
        <f aca="false">E18/E19</f>
        <v>0.0677966101694915</v>
      </c>
      <c r="F23" s="18" t="n">
        <f aca="false">F18/F19</f>
        <v>0.0637037037037037</v>
      </c>
      <c r="G23" s="18" t="n">
        <f aca="false">G18/G19</f>
        <v>0.0666666666666667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4"/>
  </cols>
  <sheetData>
    <row r="1" customFormat="false" ht="19.5" hidden="false" customHeight="true" outlineLevel="0" collapsed="false">
      <c r="A1" s="22" t="s">
        <v>134</v>
      </c>
      <c r="B1" s="3"/>
      <c r="C1" s="3"/>
      <c r="D1" s="3"/>
      <c r="E1" s="3"/>
      <c r="F1" s="3"/>
      <c r="G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</row>
    <row r="3" customFormat="false" ht="15" hidden="false" customHeight="true" outlineLevel="0" collapsed="false">
      <c r="A3" s="24"/>
      <c r="B3" s="24" t="n">
        <v>2021</v>
      </c>
      <c r="C3" s="24" t="n">
        <v>2022</v>
      </c>
      <c r="D3" s="24" t="n">
        <v>2023</v>
      </c>
      <c r="E3" s="24" t="n">
        <v>2024</v>
      </c>
      <c r="F3" s="24" t="n">
        <v>2025</v>
      </c>
      <c r="G3" s="24" t="n">
        <v>2026</v>
      </c>
    </row>
    <row r="4" customFormat="false" ht="15" hidden="false" customHeight="true" outlineLevel="0" collapsed="false">
      <c r="A4" s="3" t="s">
        <v>135</v>
      </c>
      <c r="B4" s="16" t="n">
        <f aca="false">'Balance Sheet'!B5/'Income Statement'!B4*365</f>
        <v>59.0952380952381</v>
      </c>
      <c r="C4" s="16" t="n">
        <f aca="false">'Balance Sheet'!C5/'Income Statement'!C4*365</f>
        <v>58.8709677419355</v>
      </c>
      <c r="D4" s="16" t="n">
        <f aca="false">'Balance Sheet'!D5/'Income Statement'!D4*365</f>
        <v>58.9615384615385</v>
      </c>
      <c r="E4" s="16" t="n">
        <f aca="false">'Balance Sheet'!E5/'Income Statement'!E4*365</f>
        <v>59.3898305084746</v>
      </c>
      <c r="F4" s="16" t="n">
        <f aca="false">'Balance Sheet'!F5/'Income Statement'!F4*365</f>
        <v>60.0222222222222</v>
      </c>
      <c r="G4" s="16" t="n">
        <f aca="false">'Balance Sheet'!G5/'Income Statement'!G4*365</f>
        <v>59.8974358974359</v>
      </c>
    </row>
    <row r="5" customFormat="false" ht="15" hidden="false" customHeight="true" outlineLevel="0" collapsed="false">
      <c r="A5" s="3" t="s">
        <v>136</v>
      </c>
      <c r="B5" s="16" t="n">
        <f aca="false">'Balance Sheet'!B6/'Income Statement'!B5*365</f>
        <v>96.2637362637363</v>
      </c>
      <c r="C5" s="16" t="n">
        <f aca="false">'Balance Sheet'!C6/'Income Statement'!C5*365</f>
        <v>96.1166666666667</v>
      </c>
      <c r="D5" s="16" t="n">
        <f aca="false">'Balance Sheet'!D6/'Income Statement'!D5*365</f>
        <v>96.4564564564565</v>
      </c>
      <c r="E5" s="16" t="n">
        <f aca="false">'Balance Sheet'!E6/'Income Statement'!E5*365</f>
        <v>99.0994623655914</v>
      </c>
      <c r="F5" s="16" t="n">
        <f aca="false">'Balance Sheet'!F6/'Income Statement'!F5*365</f>
        <v>101.341176470588</v>
      </c>
      <c r="G5" s="16" t="n">
        <f aca="false">'Balance Sheet'!G6/'Income Statement'!G5*365</f>
        <v>101.72131147541</v>
      </c>
    </row>
    <row r="6" customFormat="false" ht="15" hidden="false" customHeight="true" outlineLevel="0" collapsed="false">
      <c r="A6" s="3" t="s">
        <v>137</v>
      </c>
      <c r="B6" s="16" t="n">
        <f aca="false">'Balance Sheet'!B10/'Income Statement'!B5*365</f>
        <v>72.1978021978022</v>
      </c>
      <c r="C6" s="16" t="n">
        <f aca="false">'Balance Sheet'!C10/'Income Statement'!C5*365</f>
        <v>73</v>
      </c>
      <c r="D6" s="16" t="n">
        <f aca="false">'Balance Sheet'!D10/'Income Statement'!D5*365</f>
        <v>73.4384384384384</v>
      </c>
      <c r="E6" s="16" t="n">
        <f aca="false">'Balance Sheet'!E10/'Income Statement'!E5*365</f>
        <v>74.5698924731183</v>
      </c>
      <c r="F6" s="16" t="n">
        <f aca="false">'Balance Sheet'!F10/'Income Statement'!F5*365</f>
        <v>76.4352941176471</v>
      </c>
      <c r="G6" s="16" t="n">
        <f aca="false">'Balance Sheet'!G10/'Income Statement'!G5*365</f>
        <v>77.0389344262295</v>
      </c>
    </row>
    <row r="7" customFormat="false" ht="15" hidden="false" customHeight="true" outlineLevel="0" collapsed="false">
      <c r="A7" s="3" t="s">
        <v>138</v>
      </c>
      <c r="B7" s="16" t="n">
        <f aca="false">B4+B5-B6</f>
        <v>83.1611721611722</v>
      </c>
      <c r="C7" s="16" t="n">
        <f aca="false">C4+C5-C6</f>
        <v>81.9876344086021</v>
      </c>
      <c r="D7" s="16" t="n">
        <f aca="false">D4+D5-D6</f>
        <v>81.9795564795565</v>
      </c>
      <c r="E7" s="16" t="n">
        <f aca="false">E4+E5-E6</f>
        <v>83.9194004009477</v>
      </c>
      <c r="F7" s="16" t="n">
        <f aca="false">F4+F5-F6</f>
        <v>84.9281045751634</v>
      </c>
      <c r="G7" s="16" t="n">
        <f aca="false">G4+G5-G6</f>
        <v>84.5798129466162</v>
      </c>
    </row>
    <row r="8" customFormat="false" ht="15" hidden="false" customHeight="true" outlineLevel="0" collapsed="false">
      <c r="A8" s="3" t="s">
        <v>20</v>
      </c>
      <c r="B8" s="3" t="n">
        <f aca="false">('Balance Sheet'!B5+'Balance Sheet'!B6)-('Balance Sheet'!B10)</f>
        <v>86</v>
      </c>
      <c r="C8" s="3" t="n">
        <f aca="false">('Balance Sheet'!C5+'Balance Sheet'!C6)-('Balance Sheet'!C10)</f>
        <v>94</v>
      </c>
      <c r="D8" s="3" t="n">
        <f aca="false">('Balance Sheet'!D5+'Balance Sheet'!D6)-('Balance Sheet'!D10)</f>
        <v>105</v>
      </c>
      <c r="E8" s="3" t="n">
        <f aca="false">('Balance Sheet'!E5+'Balance Sheet'!E6)-('Balance Sheet'!E10)</f>
        <v>121</v>
      </c>
      <c r="F8" s="3" t="n">
        <f aca="false">('Balance Sheet'!F5+'Balance Sheet'!F6)-('Balance Sheet'!F10)</f>
        <v>140</v>
      </c>
      <c r="G8" s="3" t="n">
        <f aca="false">('Balance Sheet'!G5+'Balance Sheet'!G6)-('Balance Sheet'!G10)</f>
        <v>161</v>
      </c>
    </row>
    <row r="9" customFormat="false" ht="15" hidden="false" customHeight="true" outlineLevel="0" collapsed="false">
      <c r="A9" s="3" t="s">
        <v>139</v>
      </c>
      <c r="B9" s="18" t="n">
        <f aca="false">B8/'Income Statement'!B4</f>
        <v>0.204761904761905</v>
      </c>
      <c r="C9" s="18" t="n">
        <f aca="false">C8/'Income Statement'!C4</f>
        <v>0.202150537634409</v>
      </c>
      <c r="D9" s="18" t="n">
        <f aca="false">D8/'Income Statement'!D4</f>
        <v>0.201923076923077</v>
      </c>
      <c r="E9" s="18" t="n">
        <f aca="false">E8/'Income Statement'!E4</f>
        <v>0.205084745762712</v>
      </c>
      <c r="F9" s="18" t="n">
        <f aca="false">F8/'Income Statement'!F4</f>
        <v>0.207407407407407</v>
      </c>
      <c r="G9" s="18" t="n">
        <f aca="false">G8/'Income Statement'!G4</f>
        <v>0.206410256410256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1" min="2" style="1" width="13"/>
  </cols>
  <sheetData>
    <row r="1" customFormat="false" ht="19.5" hidden="false" customHeight="true" outlineLevel="0" collapsed="false">
      <c r="A1" s="22" t="s">
        <v>140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24"/>
      <c r="B3" s="24" t="n">
        <v>2021</v>
      </c>
      <c r="C3" s="24" t="n">
        <v>2022</v>
      </c>
      <c r="D3" s="24" t="n">
        <v>2023</v>
      </c>
      <c r="E3" s="24" t="n">
        <v>2024</v>
      </c>
      <c r="F3" s="24" t="n">
        <v>2025</v>
      </c>
      <c r="G3" s="24" t="n">
        <v>2026</v>
      </c>
      <c r="H3" s="24" t="n">
        <v>2027</v>
      </c>
      <c r="I3" s="24" t="n">
        <v>2028</v>
      </c>
      <c r="J3" s="24" t="n">
        <v>2029</v>
      </c>
      <c r="K3" s="24"/>
    </row>
    <row r="4" customFormat="false" ht="15" hidden="false" customHeight="true" outlineLevel="0" collapsed="false">
      <c r="A4" s="3" t="s">
        <v>67</v>
      </c>
      <c r="B4" s="16" t="n">
        <f aca="false">'Income Statement'!B4</f>
        <v>420</v>
      </c>
      <c r="C4" s="16" t="n">
        <f aca="false">'Income Statement'!C4</f>
        <v>465</v>
      </c>
      <c r="D4" s="16" t="n">
        <f aca="false">'Income Statement'!D4</f>
        <v>520</v>
      </c>
      <c r="E4" s="16" t="n">
        <f aca="false">'Income Statement'!E4</f>
        <v>590</v>
      </c>
      <c r="F4" s="16" t="n">
        <f aca="false">'Income Statement'!F4</f>
        <v>675</v>
      </c>
      <c r="G4" s="16" t="n">
        <f aca="false">'Income Statement'!G4</f>
        <v>780</v>
      </c>
      <c r="H4" s="16" t="n">
        <f aca="false">G4*(1+H21)</f>
        <v>858</v>
      </c>
      <c r="I4" s="16" t="n">
        <f aca="false">H4*(1+I21)</f>
        <v>935.22</v>
      </c>
      <c r="J4" s="16" t="n">
        <f aca="false">I4*(1+J21)</f>
        <v>1010.0376</v>
      </c>
      <c r="K4" s="16"/>
    </row>
    <row r="5" customFormat="false" ht="15" hidden="false" customHeight="true" outlineLevel="0" collapsed="false">
      <c r="A5" s="3" t="s">
        <v>141</v>
      </c>
      <c r="B5" s="18"/>
      <c r="C5" s="18" t="n">
        <f aca="false">C4/B4-1</f>
        <v>0.107142857142857</v>
      </c>
      <c r="D5" s="18" t="n">
        <f aca="false">D4/C4-1</f>
        <v>0.118279569892473</v>
      </c>
      <c r="E5" s="18" t="n">
        <f aca="false">E4/D4-1</f>
        <v>0.134615384615385</v>
      </c>
      <c r="F5" s="18" t="n">
        <f aca="false">F4/E4-1</f>
        <v>0.14406779661017</v>
      </c>
      <c r="G5" s="18" t="n">
        <f aca="false">G4/F4-1</f>
        <v>0.155555555555555</v>
      </c>
      <c r="H5" s="18" t="n">
        <f aca="false">H21</f>
        <v>0.1</v>
      </c>
      <c r="I5" s="18" t="n">
        <f aca="false">I21</f>
        <v>0.09</v>
      </c>
      <c r="J5" s="18" t="n">
        <f aca="false">J21</f>
        <v>0.08</v>
      </c>
      <c r="K5" s="18"/>
    </row>
    <row r="6" customFormat="false" ht="15" hidden="false" customHeight="true" outlineLevel="0" collapsed="false">
      <c r="A6" s="3" t="s">
        <v>142</v>
      </c>
      <c r="B6" s="18" t="n">
        <f aca="false">'Income Statement'!B5/'Income Statement'!B4</f>
        <v>0.65</v>
      </c>
      <c r="C6" s="18" t="n">
        <f aca="false">'Income Statement'!C5/'Income Statement'!C4</f>
        <v>0.645161290322581</v>
      </c>
      <c r="D6" s="18" t="n">
        <f aca="false">'Income Statement'!D5/'Income Statement'!D4</f>
        <v>0.640384615384615</v>
      </c>
      <c r="E6" s="18" t="n">
        <f aca="false">'Income Statement'!E5/'Income Statement'!E4</f>
        <v>0.630508474576271</v>
      </c>
      <c r="F6" s="18" t="n">
        <f aca="false">'Income Statement'!F5/'Income Statement'!F4</f>
        <v>0.62962962962963</v>
      </c>
      <c r="G6" s="18" t="n">
        <f aca="false">'Income Statement'!G5/'Income Statement'!G4</f>
        <v>0.625641025641026</v>
      </c>
      <c r="H6" s="18" t="n">
        <f aca="false">H22</f>
        <v>0.625</v>
      </c>
      <c r="I6" s="18" t="n">
        <f aca="false">I22</f>
        <v>0.62</v>
      </c>
      <c r="J6" s="18" t="n">
        <f aca="false">J22</f>
        <v>0.615</v>
      </c>
      <c r="K6" s="18"/>
    </row>
    <row r="7" customFormat="false" ht="15" hidden="false" customHeight="true" outlineLevel="0" collapsed="false">
      <c r="A7" s="3" t="s">
        <v>143</v>
      </c>
      <c r="B7" s="18" t="n">
        <f aca="false">'Income Statement'!B7/'Income Statement'!B4</f>
        <v>0.195238095238095</v>
      </c>
      <c r="C7" s="18" t="n">
        <f aca="false">'Income Statement'!C7/'Income Statement'!C4</f>
        <v>0.195698924731183</v>
      </c>
      <c r="D7" s="18" t="n">
        <f aca="false">'Income Statement'!D7/'Income Statement'!D4</f>
        <v>0.194230769230769</v>
      </c>
      <c r="E7" s="18" t="n">
        <f aca="false">'Income Statement'!E7/'Income Statement'!E4</f>
        <v>0.189830508474576</v>
      </c>
      <c r="F7" s="18" t="n">
        <f aca="false">'Income Statement'!F7/'Income Statement'!F4</f>
        <v>0.185185185185185</v>
      </c>
      <c r="G7" s="18" t="n">
        <f aca="false">'Income Statement'!G7/'Income Statement'!G4</f>
        <v>0.182051282051282</v>
      </c>
      <c r="H7" s="18" t="n">
        <f aca="false">H23</f>
        <v>0.18</v>
      </c>
      <c r="I7" s="18" t="n">
        <f aca="false">I23</f>
        <v>0.178</v>
      </c>
      <c r="J7" s="18" t="n">
        <f aca="false">J23</f>
        <v>0.176</v>
      </c>
      <c r="K7" s="18"/>
    </row>
    <row r="8" customFormat="false" ht="15" hidden="false" customHeight="true" outlineLevel="0" collapsed="false">
      <c r="A8" s="3" t="s">
        <v>144</v>
      </c>
      <c r="B8" s="18" t="n">
        <f aca="false">'Income Statement'!B9/'Income Statement'!B4</f>
        <v>0.0285714285714286</v>
      </c>
      <c r="C8" s="18" t="n">
        <f aca="false">'Income Statement'!C9/'Income Statement'!C4</f>
        <v>0.0279569892473118</v>
      </c>
      <c r="D8" s="18" t="n">
        <f aca="false">'Income Statement'!D9/'Income Statement'!D4</f>
        <v>0.0288461538461538</v>
      </c>
      <c r="E8" s="18" t="n">
        <f aca="false">'Income Statement'!E9/'Income Statement'!E4</f>
        <v>0.0288135593220339</v>
      </c>
      <c r="F8" s="18" t="n">
        <f aca="false">'Income Statement'!F9/'Income Statement'!F4</f>
        <v>0.0296296296296296</v>
      </c>
      <c r="G8" s="18" t="n">
        <f aca="false">'Income Statement'!G9/'Income Statement'!G4</f>
        <v>0.0294871794871795</v>
      </c>
      <c r="H8" s="18" t="n">
        <f aca="false">H24</f>
        <v>0.029</v>
      </c>
      <c r="I8" s="18" t="n">
        <f aca="false">I24</f>
        <v>0.028</v>
      </c>
      <c r="J8" s="18" t="n">
        <f aca="false">J24</f>
        <v>0.028</v>
      </c>
      <c r="K8" s="18"/>
    </row>
    <row r="9" customFormat="false" ht="15" hidden="false" customHeight="true" outlineLevel="0" collapsed="false">
      <c r="A9" s="3" t="s">
        <v>102</v>
      </c>
      <c r="B9" s="16" t="n">
        <f aca="false">'Income Statement'!B8</f>
        <v>65</v>
      </c>
      <c r="C9" s="16" t="n">
        <f aca="false">'Income Statement'!C8</f>
        <v>74</v>
      </c>
      <c r="D9" s="16" t="n">
        <f aca="false">'Income Statement'!D8</f>
        <v>86</v>
      </c>
      <c r="E9" s="16" t="n">
        <f aca="false">'Income Statement'!E8</f>
        <v>106</v>
      </c>
      <c r="F9" s="16" t="n">
        <f aca="false">'Income Statement'!F8</f>
        <v>125</v>
      </c>
      <c r="G9" s="16" t="n">
        <f aca="false">'Income Statement'!G8</f>
        <v>150</v>
      </c>
      <c r="H9" s="16" t="n">
        <f aca="false">H4*(1-H6-H7)</f>
        <v>167.31</v>
      </c>
      <c r="I9" s="16" t="n">
        <f aca="false">I4*(1-I6-I7)</f>
        <v>188.91444</v>
      </c>
      <c r="J9" s="16" t="n">
        <f aca="false">J4*(1-J6-J7)</f>
        <v>211.0978584</v>
      </c>
      <c r="K9" s="16"/>
    </row>
    <row r="10" customFormat="false" ht="15" hidden="false" customHeight="true" outlineLevel="0" collapsed="false">
      <c r="A10" s="3" t="s">
        <v>103</v>
      </c>
      <c r="B10" s="16" t="n">
        <f aca="false">'Income Statement'!B10</f>
        <v>53</v>
      </c>
      <c r="C10" s="16" t="n">
        <f aca="false">'Income Statement'!C10</f>
        <v>61</v>
      </c>
      <c r="D10" s="16" t="n">
        <f aca="false">'Income Statement'!D10</f>
        <v>71</v>
      </c>
      <c r="E10" s="16" t="n">
        <f aca="false">'Income Statement'!E10</f>
        <v>89</v>
      </c>
      <c r="F10" s="16" t="n">
        <f aca="false">'Income Statement'!F10</f>
        <v>105</v>
      </c>
      <c r="G10" s="16" t="n">
        <f aca="false">'Income Statement'!G10</f>
        <v>127</v>
      </c>
      <c r="H10" s="16" t="n">
        <f aca="false">H9-H4*H8</f>
        <v>142.428</v>
      </c>
      <c r="I10" s="16" t="n">
        <f aca="false">I9-I4*I8</f>
        <v>162.72828</v>
      </c>
      <c r="J10" s="16" t="n">
        <f aca="false">J9-J4*J8</f>
        <v>182.8168056</v>
      </c>
      <c r="K10" s="16"/>
    </row>
    <row r="11" customFormat="false" ht="15" hidden="false" customHeight="true" outlineLevel="0" collapsed="false">
      <c r="A11" s="3" t="s">
        <v>71</v>
      </c>
      <c r="B11" s="16" t="n">
        <f aca="false">'Income Statement'!B11</f>
        <v>10</v>
      </c>
      <c r="C11" s="16" t="n">
        <f aca="false">'Income Statement'!C11</f>
        <v>11</v>
      </c>
      <c r="D11" s="16" t="n">
        <f aca="false">'Income Statement'!D11</f>
        <v>12</v>
      </c>
      <c r="E11" s="16" t="n">
        <f aca="false">'Income Statement'!E11</f>
        <v>13</v>
      </c>
      <c r="F11" s="16" t="n">
        <f aca="false">'Income Statement'!F11</f>
        <v>15</v>
      </c>
      <c r="G11" s="16" t="n">
        <f aca="false">'Income Statement'!G11</f>
        <v>17</v>
      </c>
      <c r="H11" s="16" t="n">
        <f aca="false">H25</f>
        <v>18</v>
      </c>
      <c r="I11" s="16" t="n">
        <f aca="false">I25</f>
        <v>19</v>
      </c>
      <c r="J11" s="16" t="n">
        <f aca="false">J25</f>
        <v>20</v>
      </c>
      <c r="K11" s="16"/>
    </row>
    <row r="12" customFormat="false" ht="15" hidden="false" customHeight="true" outlineLevel="0" collapsed="false">
      <c r="A12" s="3" t="s">
        <v>104</v>
      </c>
      <c r="B12" s="16" t="n">
        <f aca="false">'Income Statement'!B12</f>
        <v>43</v>
      </c>
      <c r="C12" s="16" t="n">
        <f aca="false">'Income Statement'!C12</f>
        <v>50</v>
      </c>
      <c r="D12" s="16" t="n">
        <f aca="false">'Income Statement'!D12</f>
        <v>59</v>
      </c>
      <c r="E12" s="16" t="n">
        <f aca="false">'Income Statement'!E12</f>
        <v>76</v>
      </c>
      <c r="F12" s="16" t="n">
        <f aca="false">'Income Statement'!F12</f>
        <v>90</v>
      </c>
      <c r="G12" s="16" t="n">
        <f aca="false">'Income Statement'!G12</f>
        <v>110</v>
      </c>
      <c r="H12" s="16" t="n">
        <f aca="false">H10-H11</f>
        <v>124.428</v>
      </c>
      <c r="I12" s="16" t="n">
        <f aca="false">I10-I11</f>
        <v>143.72828</v>
      </c>
      <c r="J12" s="16" t="n">
        <f aca="false">J10-J11</f>
        <v>162.8168056</v>
      </c>
      <c r="K12" s="16"/>
    </row>
    <row r="13" customFormat="false" ht="15" hidden="false" customHeight="true" outlineLevel="0" collapsed="false">
      <c r="A13" s="3" t="s">
        <v>145</v>
      </c>
      <c r="B13" s="18" t="n">
        <f aca="false">'Income Statement'!B13/'Income Statement'!B12</f>
        <v>0.186046511627907</v>
      </c>
      <c r="C13" s="18" t="n">
        <f aca="false">'Income Statement'!C13/'Income Statement'!C12</f>
        <v>0.2</v>
      </c>
      <c r="D13" s="18" t="n">
        <f aca="false">'Income Statement'!D13/'Income Statement'!D12</f>
        <v>0.220338983050847</v>
      </c>
      <c r="E13" s="18" t="n">
        <f aca="false">'Income Statement'!E13/'Income Statement'!E12</f>
        <v>0.210526315789474</v>
      </c>
      <c r="F13" s="18" t="n">
        <f aca="false">'Income Statement'!F13/'Income Statement'!F12</f>
        <v>0.233333333333333</v>
      </c>
      <c r="G13" s="18" t="n">
        <f aca="false">'Income Statement'!G13/'Income Statement'!G12</f>
        <v>0.227272727272727</v>
      </c>
      <c r="H13" s="18" t="n">
        <f aca="false">H26</f>
        <v>0.25</v>
      </c>
      <c r="I13" s="18" t="n">
        <f aca="false">I26</f>
        <v>0.25</v>
      </c>
      <c r="J13" s="18" t="n">
        <f aca="false">J26</f>
        <v>0.25</v>
      </c>
      <c r="K13" s="18"/>
    </row>
    <row r="14" customFormat="false" ht="15" hidden="false" customHeight="true" outlineLevel="0" collapsed="false">
      <c r="A14" s="3" t="s">
        <v>105</v>
      </c>
      <c r="B14" s="16" t="n">
        <f aca="false">'Income Statement'!B14</f>
        <v>35</v>
      </c>
      <c r="C14" s="16" t="n">
        <f aca="false">'Income Statement'!C14</f>
        <v>40</v>
      </c>
      <c r="D14" s="16" t="n">
        <f aca="false">'Income Statement'!D14</f>
        <v>46</v>
      </c>
      <c r="E14" s="16" t="n">
        <f aca="false">'Income Statement'!E14</f>
        <v>60</v>
      </c>
      <c r="F14" s="16" t="n">
        <f aca="false">'Income Statement'!F14</f>
        <v>69</v>
      </c>
      <c r="G14" s="16" t="n">
        <f aca="false">'Income Statement'!G14</f>
        <v>85</v>
      </c>
      <c r="H14" s="16" t="n">
        <f aca="false">H12*(1-H13)</f>
        <v>93.321</v>
      </c>
      <c r="I14" s="16" t="n">
        <f aca="false">I12*(1-I13)</f>
        <v>107.79621</v>
      </c>
      <c r="J14" s="16" t="n">
        <f aca="false">J12*(1-J13)</f>
        <v>122.1126042</v>
      </c>
      <c r="K14" s="16"/>
    </row>
    <row r="15" customFormat="false" ht="15" hidden="false" customHeight="true" outlineLevel="0" collapsed="false">
      <c r="A15" s="3" t="s">
        <v>146</v>
      </c>
      <c r="B15" s="18" t="n">
        <f aca="false">'Cash Flow'!B9/'Income Statement'!B4</f>
        <v>0.0523809523809524</v>
      </c>
      <c r="C15" s="18" t="n">
        <f aca="false">'Cash Flow'!C9/'Income Statement'!C4</f>
        <v>0.0537634408602151</v>
      </c>
      <c r="D15" s="18" t="n">
        <f aca="false">'Cash Flow'!D9/'Income Statement'!D4</f>
        <v>0.0538461538461539</v>
      </c>
      <c r="E15" s="18" t="n">
        <f aca="false">'Cash Flow'!E9/'Income Statement'!E4</f>
        <v>0.0525423728813559</v>
      </c>
      <c r="F15" s="18" t="n">
        <f aca="false">'Cash Flow'!F9/'Income Statement'!F4</f>
        <v>0.0562962962962963</v>
      </c>
      <c r="G15" s="18" t="n">
        <f aca="false">'Cash Flow'!G9/'Income Statement'!G4</f>
        <v>0.0576923076923077</v>
      </c>
      <c r="H15" s="18" t="n">
        <f aca="false">H27</f>
        <v>0.055</v>
      </c>
      <c r="I15" s="18" t="n">
        <f aca="false">I27</f>
        <v>0.052</v>
      </c>
      <c r="J15" s="18" t="n">
        <f aca="false">J27</f>
        <v>0.05</v>
      </c>
      <c r="K15" s="18"/>
    </row>
    <row r="16" customFormat="false" ht="15" hidden="false" customHeight="true" outlineLevel="0" collapsed="false">
      <c r="A16" s="3" t="s">
        <v>147</v>
      </c>
      <c r="B16" s="18" t="n">
        <f aca="false">'Cash Flow'!B6/'Income Statement'!B4</f>
        <v>0.0190476190476191</v>
      </c>
      <c r="C16" s="18" t="n">
        <f aca="false">'Cash Flow'!C6/'Income Statement'!C4</f>
        <v>0.0129032258064516</v>
      </c>
      <c r="D16" s="18" t="n">
        <f aca="false">'Cash Flow'!D6/'Income Statement'!D4</f>
        <v>0.0173076923076923</v>
      </c>
      <c r="E16" s="18" t="n">
        <f aca="false">'Cash Flow'!E6/'Income Statement'!E4</f>
        <v>0.0186440677966102</v>
      </c>
      <c r="F16" s="18" t="n">
        <f aca="false">'Cash Flow'!F6/'Income Statement'!F4</f>
        <v>0.0207407407407407</v>
      </c>
      <c r="G16" s="18" t="n">
        <f aca="false">'Cash Flow'!G6/'Income Statement'!G4</f>
        <v>0.0205128205128205</v>
      </c>
      <c r="H16" s="18" t="n">
        <f aca="false">H28</f>
        <v>0.02</v>
      </c>
      <c r="I16" s="18" t="n">
        <f aca="false">I28</f>
        <v>0.019</v>
      </c>
      <c r="J16" s="18" t="n">
        <f aca="false">J28</f>
        <v>0.018</v>
      </c>
      <c r="K16" s="18"/>
    </row>
    <row r="17" customFormat="false" ht="15" hidden="false" customHeight="true" outlineLevel="0" collapsed="false">
      <c r="A17" s="3" t="s">
        <v>115</v>
      </c>
      <c r="B17" s="16" t="n">
        <f aca="false">'Cash Flow'!B10</f>
        <v>37</v>
      </c>
      <c r="C17" s="16" t="n">
        <f aca="false">'Cash Flow'!C10</f>
        <v>39</v>
      </c>
      <c r="D17" s="16" t="n">
        <f aca="false">'Cash Flow'!D10</f>
        <v>48</v>
      </c>
      <c r="E17" s="16" t="n">
        <f aca="false">'Cash Flow'!E10</f>
        <v>64</v>
      </c>
      <c r="F17" s="16" t="n">
        <f aca="false">'Cash Flow'!F10</f>
        <v>74</v>
      </c>
      <c r="G17" s="16" t="n">
        <f aca="false">'Cash Flow'!G10</f>
        <v>89</v>
      </c>
      <c r="H17" s="16" t="n">
        <f aca="false">H14+H4*H8-H4*H15-H4*H16</f>
        <v>53.853</v>
      </c>
      <c r="I17" s="16" t="n">
        <f aca="false">I14+I4*I8-I4*I15-I4*I16</f>
        <v>67.58175</v>
      </c>
      <c r="J17" s="16" t="n">
        <f aca="false">J14+J4*J8-J4*J15-J4*J16</f>
        <v>81.7111002</v>
      </c>
      <c r="K17" s="16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5" t="s">
        <v>148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 t="s">
        <v>118</v>
      </c>
      <c r="B21" s="3"/>
      <c r="C21" s="3"/>
      <c r="D21" s="3"/>
      <c r="E21" s="3"/>
      <c r="F21" s="3"/>
      <c r="G21" s="3"/>
      <c r="H21" s="26" t="n">
        <v>0.1</v>
      </c>
      <c r="I21" s="26" t="n">
        <v>0.09</v>
      </c>
      <c r="J21" s="26" t="n">
        <v>0.08</v>
      </c>
      <c r="K21" s="27"/>
    </row>
    <row r="22" customFormat="false" ht="15" hidden="false" customHeight="true" outlineLevel="0" collapsed="false">
      <c r="A22" s="3" t="s">
        <v>142</v>
      </c>
      <c r="B22" s="3"/>
      <c r="C22" s="3"/>
      <c r="D22" s="3"/>
      <c r="E22" s="3"/>
      <c r="F22" s="3"/>
      <c r="G22" s="3"/>
      <c r="H22" s="26" t="n">
        <v>0.625</v>
      </c>
      <c r="I22" s="26" t="n">
        <v>0.62</v>
      </c>
      <c r="J22" s="26" t="n">
        <v>0.615</v>
      </c>
      <c r="K22" s="27"/>
    </row>
    <row r="23" customFormat="false" ht="15" hidden="false" customHeight="true" outlineLevel="0" collapsed="false">
      <c r="A23" s="3" t="s">
        <v>149</v>
      </c>
      <c r="B23" s="3"/>
      <c r="C23" s="3"/>
      <c r="D23" s="3"/>
      <c r="E23" s="3"/>
      <c r="F23" s="3"/>
      <c r="G23" s="3"/>
      <c r="H23" s="26" t="n">
        <v>0.18</v>
      </c>
      <c r="I23" s="26" t="n">
        <v>0.178</v>
      </c>
      <c r="J23" s="26" t="n">
        <v>0.176</v>
      </c>
      <c r="K23" s="27"/>
    </row>
    <row r="24" customFormat="false" ht="15" hidden="false" customHeight="true" outlineLevel="0" collapsed="false">
      <c r="A24" s="3" t="s">
        <v>144</v>
      </c>
      <c r="B24" s="3"/>
      <c r="C24" s="3"/>
      <c r="D24" s="3"/>
      <c r="E24" s="3"/>
      <c r="F24" s="3"/>
      <c r="G24" s="3"/>
      <c r="H24" s="26" t="n">
        <v>0.029</v>
      </c>
      <c r="I24" s="26" t="n">
        <v>0.028</v>
      </c>
      <c r="J24" s="26" t="n">
        <v>0.028</v>
      </c>
      <c r="K24" s="27"/>
    </row>
    <row r="25" customFormat="false" ht="15" hidden="false" customHeight="true" outlineLevel="0" collapsed="false">
      <c r="A25" s="3" t="s">
        <v>71</v>
      </c>
      <c r="B25" s="3"/>
      <c r="C25" s="3"/>
      <c r="D25" s="3"/>
      <c r="E25" s="3"/>
      <c r="F25" s="3"/>
      <c r="G25" s="3"/>
      <c r="H25" s="28" t="n">
        <v>18</v>
      </c>
      <c r="I25" s="28" t="n">
        <v>19</v>
      </c>
      <c r="J25" s="28" t="n">
        <v>20</v>
      </c>
      <c r="K25" s="29"/>
    </row>
    <row r="26" customFormat="false" ht="15" hidden="false" customHeight="true" outlineLevel="0" collapsed="false">
      <c r="A26" s="3" t="s">
        <v>145</v>
      </c>
      <c r="B26" s="3"/>
      <c r="C26" s="3"/>
      <c r="D26" s="3"/>
      <c r="E26" s="3"/>
      <c r="F26" s="3"/>
      <c r="G26" s="3"/>
      <c r="H26" s="26" t="n">
        <v>0.25</v>
      </c>
      <c r="I26" s="26" t="n">
        <v>0.25</v>
      </c>
      <c r="J26" s="26" t="n">
        <v>0.25</v>
      </c>
      <c r="K26" s="27"/>
    </row>
    <row r="27" customFormat="false" ht="15" hidden="false" customHeight="true" outlineLevel="0" collapsed="false">
      <c r="A27" s="3" t="s">
        <v>146</v>
      </c>
      <c r="B27" s="3"/>
      <c r="C27" s="3"/>
      <c r="D27" s="3"/>
      <c r="E27" s="3"/>
      <c r="F27" s="3"/>
      <c r="G27" s="3"/>
      <c r="H27" s="26" t="n">
        <v>0.055</v>
      </c>
      <c r="I27" s="26" t="n">
        <v>0.052</v>
      </c>
      <c r="J27" s="26" t="n">
        <v>0.05</v>
      </c>
      <c r="K27" s="27"/>
    </row>
    <row r="28" customFormat="false" ht="15" hidden="false" customHeight="true" outlineLevel="0" collapsed="false">
      <c r="A28" s="3" t="s">
        <v>147</v>
      </c>
      <c r="B28" s="3"/>
      <c r="C28" s="3"/>
      <c r="D28" s="3"/>
      <c r="E28" s="3"/>
      <c r="F28" s="3"/>
      <c r="G28" s="3"/>
      <c r="H28" s="26" t="n">
        <v>0.02</v>
      </c>
      <c r="I28" s="26" t="n">
        <v>0.019</v>
      </c>
      <c r="J28" s="26" t="n">
        <v>0.018</v>
      </c>
      <c r="K28" s="27"/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19.5" hidden="false" customHeight="true" outlineLevel="0" collapsed="false">
      <c r="A1" s="22" t="s">
        <v>150</v>
      </c>
    </row>
    <row r="3" customFormat="false" ht="15" hidden="false" customHeight="true" outlineLevel="0" collapsed="false">
      <c r="A3" s="5" t="s">
        <v>151</v>
      </c>
    </row>
    <row r="4" customFormat="false" ht="15" hidden="false" customHeight="true" outlineLevel="0" collapsed="false">
      <c r="A4" s="3" t="s">
        <v>152</v>
      </c>
      <c r="B4" s="30" t="n">
        <v>0.02</v>
      </c>
    </row>
    <row r="5" customFormat="false" ht="15" hidden="false" customHeight="true" outlineLevel="0" collapsed="false">
      <c r="A5" s="3" t="s">
        <v>153</v>
      </c>
      <c r="B5" s="30" t="n">
        <v>-0.01</v>
      </c>
    </row>
    <row r="6" customFormat="false" ht="15" hidden="false" customHeight="true" outlineLevel="0" collapsed="false">
      <c r="A6" s="3" t="s">
        <v>154</v>
      </c>
      <c r="B6" s="30" t="n">
        <v>-0.02</v>
      </c>
    </row>
    <row r="7" customFormat="false" ht="15" hidden="false" customHeight="true" outlineLevel="0" collapsed="false">
      <c r="A7" s="3" t="s">
        <v>155</v>
      </c>
      <c r="B7" s="30" t="n">
        <v>0.01</v>
      </c>
    </row>
    <row r="8" customFormat="false" ht="15" hidden="false" customHeight="true" outlineLevel="0" collapsed="false">
      <c r="A8" s="21" t="s">
        <v>156</v>
      </c>
      <c r="B8" s="21"/>
      <c r="C8" s="21"/>
      <c r="D8" s="21"/>
      <c r="E8" s="21"/>
      <c r="F8" s="21"/>
      <c r="G8" s="21"/>
      <c r="H8" s="21"/>
    </row>
    <row r="10" customFormat="false" ht="15" hidden="false" customHeight="true" outlineLevel="0" collapsed="false">
      <c r="A10" s="5" t="s">
        <v>157</v>
      </c>
    </row>
    <row r="11" customFormat="false" ht="15" hidden="false" customHeight="true" outlineLevel="0" collapsed="false">
      <c r="B11" s="24" t="n">
        <v>2027</v>
      </c>
      <c r="C11" s="24" t="n">
        <v>2028</v>
      </c>
      <c r="D11" s="24" t="n">
        <v>2029</v>
      </c>
    </row>
    <row r="12" customFormat="false" ht="15" hidden="false" customHeight="true" outlineLevel="0" collapsed="false">
      <c r="A12" s="3" t="s">
        <v>67</v>
      </c>
      <c r="B12" s="16" t="n">
        <f aca="false">Forecast!H4</f>
        <v>858</v>
      </c>
      <c r="C12" s="16" t="n">
        <f aca="false">Forecast!I4</f>
        <v>935.22</v>
      </c>
      <c r="D12" s="16" t="n">
        <f aca="false">Forecast!J4</f>
        <v>1010.0376</v>
      </c>
    </row>
    <row r="13" customFormat="false" ht="15" hidden="false" customHeight="true" outlineLevel="0" collapsed="false">
      <c r="A13" s="3" t="s">
        <v>102</v>
      </c>
      <c r="B13" s="16" t="n">
        <f aca="false">Forecast!H9</f>
        <v>167.31</v>
      </c>
      <c r="C13" s="16" t="n">
        <f aca="false">Forecast!I9</f>
        <v>188.91444</v>
      </c>
      <c r="D13" s="16" t="n">
        <f aca="false">Forecast!J9</f>
        <v>211.0978584</v>
      </c>
    </row>
    <row r="14" customFormat="false" ht="15" hidden="false" customHeight="true" outlineLevel="0" collapsed="false">
      <c r="A14" s="3" t="s">
        <v>103</v>
      </c>
      <c r="B14" s="16" t="n">
        <f aca="false">Forecast!H10</f>
        <v>142.428</v>
      </c>
      <c r="C14" s="16" t="n">
        <f aca="false">Forecast!I10</f>
        <v>162.72828</v>
      </c>
      <c r="D14" s="16" t="n">
        <f aca="false">Forecast!J10</f>
        <v>182.8168056</v>
      </c>
    </row>
    <row r="15" customFormat="false" ht="15" hidden="false" customHeight="true" outlineLevel="0" collapsed="false">
      <c r="A15" s="3" t="s">
        <v>105</v>
      </c>
      <c r="B15" s="16" t="n">
        <f aca="false">Forecast!H14</f>
        <v>93.321</v>
      </c>
      <c r="C15" s="16" t="n">
        <f aca="false">Forecast!I14</f>
        <v>107.79621</v>
      </c>
      <c r="D15" s="16" t="n">
        <f aca="false">Forecast!J14</f>
        <v>122.1126042</v>
      </c>
    </row>
    <row r="16" customFormat="false" ht="15" hidden="false" customHeight="true" outlineLevel="0" collapsed="false">
      <c r="A16" s="19" t="s">
        <v>115</v>
      </c>
      <c r="B16" s="31" t="n">
        <f aca="false">Forecast!H17</f>
        <v>53.853</v>
      </c>
      <c r="C16" s="31" t="n">
        <f aca="false">Forecast!I17</f>
        <v>67.58175</v>
      </c>
      <c r="D16" s="31" t="n">
        <f aca="false">Forecast!J17</f>
        <v>81.7111002</v>
      </c>
    </row>
    <row r="18" customFormat="false" ht="15" hidden="false" customHeight="true" outlineLevel="0" collapsed="false">
      <c r="A18" s="5" t="s">
        <v>158</v>
      </c>
    </row>
    <row r="19" customFormat="false" ht="15" hidden="false" customHeight="true" outlineLevel="0" collapsed="false">
      <c r="B19" s="24" t="n">
        <v>2027</v>
      </c>
      <c r="C19" s="24" t="n">
        <v>2028</v>
      </c>
      <c r="D19" s="24" t="n">
        <v>2029</v>
      </c>
    </row>
    <row r="20" customFormat="false" ht="15" hidden="false" customHeight="true" outlineLevel="0" collapsed="false">
      <c r="A20" s="3" t="s">
        <v>118</v>
      </c>
      <c r="B20" s="18" t="n">
        <f aca="false">Forecast!H21+$B$4</f>
        <v>0.12</v>
      </c>
      <c r="C20" s="18" t="n">
        <f aca="false">Forecast!I21+$B$4</f>
        <v>0.11</v>
      </c>
      <c r="D20" s="18" t="n">
        <f aca="false">Forecast!J21+$B$4</f>
        <v>0.1</v>
      </c>
    </row>
    <row r="21" customFormat="false" ht="15" hidden="false" customHeight="true" outlineLevel="0" collapsed="false">
      <c r="A21" s="3" t="s">
        <v>67</v>
      </c>
      <c r="B21" s="16" t="n">
        <f aca="false">'Income Statement'!G4*(1+B20)</f>
        <v>873.6</v>
      </c>
      <c r="C21" s="16" t="n">
        <f aca="false">B21*(1+C20)</f>
        <v>969.696</v>
      </c>
      <c r="D21" s="16" t="n">
        <f aca="false">C21*(1+D20)</f>
        <v>1066.6656</v>
      </c>
    </row>
    <row r="22" customFormat="false" ht="15" hidden="false" customHeight="true" outlineLevel="0" collapsed="false">
      <c r="A22" s="3" t="s">
        <v>142</v>
      </c>
      <c r="B22" s="18" t="n">
        <f aca="false">Forecast!H22+$B$5</f>
        <v>0.615</v>
      </c>
      <c r="C22" s="18" t="n">
        <f aca="false">Forecast!I22+$B$5</f>
        <v>0.61</v>
      </c>
      <c r="D22" s="18" t="n">
        <f aca="false">Forecast!J22+$B$5</f>
        <v>0.605</v>
      </c>
    </row>
    <row r="23" customFormat="false" ht="15" hidden="false" customHeight="true" outlineLevel="0" collapsed="false">
      <c r="A23" s="3" t="s">
        <v>102</v>
      </c>
      <c r="B23" s="16" t="n">
        <f aca="false">B21*(1-B22-Forecast!H23)</f>
        <v>179.088</v>
      </c>
      <c r="C23" s="16" t="n">
        <f aca="false">C21*(1-C22-Forecast!I23)</f>
        <v>205.575552</v>
      </c>
      <c r="D23" s="16" t="n">
        <f aca="false">D21*(1-D22-Forecast!J23)</f>
        <v>233.5997664</v>
      </c>
    </row>
    <row r="24" customFormat="false" ht="15" hidden="false" customHeight="true" outlineLevel="0" collapsed="false">
      <c r="A24" s="3" t="s">
        <v>103</v>
      </c>
      <c r="B24" s="16" t="n">
        <f aca="false">B23-B21*Forecast!H24</f>
        <v>153.7536</v>
      </c>
      <c r="C24" s="16" t="n">
        <f aca="false">C23-C21*Forecast!I24</f>
        <v>178.424064</v>
      </c>
      <c r="D24" s="16" t="n">
        <f aca="false">D23-D21*Forecast!J24</f>
        <v>203.7331296</v>
      </c>
    </row>
    <row r="25" customFormat="false" ht="15" hidden="false" customHeight="true" outlineLevel="0" collapsed="false">
      <c r="A25" s="3" t="s">
        <v>104</v>
      </c>
      <c r="B25" s="16" t="n">
        <f aca="false">B24-Forecast!H25</f>
        <v>135.7536</v>
      </c>
      <c r="C25" s="16" t="n">
        <f aca="false">C24-Forecast!I25</f>
        <v>159.424064</v>
      </c>
      <c r="D25" s="16" t="n">
        <f aca="false">D24-Forecast!J25</f>
        <v>183.7331296</v>
      </c>
    </row>
    <row r="26" customFormat="false" ht="15" hidden="false" customHeight="true" outlineLevel="0" collapsed="false">
      <c r="A26" s="3" t="s">
        <v>105</v>
      </c>
      <c r="B26" s="16" t="n">
        <f aca="false">B25*(1-Forecast!H26)</f>
        <v>101.8152</v>
      </c>
      <c r="C26" s="16" t="n">
        <f aca="false">C25*(1-Forecast!I26)</f>
        <v>119.568048</v>
      </c>
      <c r="D26" s="16" t="n">
        <f aca="false">D25*(1-Forecast!J26)</f>
        <v>137.7998472</v>
      </c>
    </row>
    <row r="27" customFormat="false" ht="15" hidden="false" customHeight="true" outlineLevel="0" collapsed="false">
      <c r="A27" s="19" t="s">
        <v>115</v>
      </c>
      <c r="B27" s="31" t="n">
        <f aca="false">B26+B21*Forecast!H24-B21*Forecast!H27-B21*Forecast!H28</f>
        <v>61.6296</v>
      </c>
      <c r="C27" s="31" t="n">
        <f aca="false">C26+C21*Forecast!I24-C21*Forecast!I27-C21*Forecast!I28</f>
        <v>77.8711200000001</v>
      </c>
      <c r="D27" s="31" t="n">
        <f aca="false">D26+D21*Forecast!J24-D21*Forecast!J27-D21*Forecast!J28</f>
        <v>95.1332232</v>
      </c>
    </row>
    <row r="29" customFormat="false" ht="15" hidden="false" customHeight="true" outlineLevel="0" collapsed="false">
      <c r="A29" s="5" t="s">
        <v>159</v>
      </c>
    </row>
    <row r="30" customFormat="false" ht="15" hidden="false" customHeight="true" outlineLevel="0" collapsed="false">
      <c r="B30" s="24" t="n">
        <v>2027</v>
      </c>
      <c r="C30" s="24" t="n">
        <v>2028</v>
      </c>
      <c r="D30" s="24" t="n">
        <v>2029</v>
      </c>
    </row>
    <row r="31" customFormat="false" ht="15" hidden="false" customHeight="true" outlineLevel="0" collapsed="false">
      <c r="A31" s="3" t="s">
        <v>118</v>
      </c>
      <c r="B31" s="18" t="n">
        <f aca="false">Forecast!H21+$B$6</f>
        <v>0.08</v>
      </c>
      <c r="C31" s="18" t="n">
        <f aca="false">Forecast!I21+$B$6</f>
        <v>0.07</v>
      </c>
      <c r="D31" s="18" t="n">
        <f aca="false">Forecast!J21+$B$6</f>
        <v>0.06</v>
      </c>
    </row>
    <row r="32" customFormat="false" ht="15" hidden="false" customHeight="true" outlineLevel="0" collapsed="false">
      <c r="A32" s="3" t="s">
        <v>67</v>
      </c>
      <c r="B32" s="16" t="n">
        <f aca="false">'Income Statement'!G4*(1+B31)</f>
        <v>842.4</v>
      </c>
      <c r="C32" s="16" t="n">
        <f aca="false">B32*(1+C31)</f>
        <v>901.368</v>
      </c>
      <c r="D32" s="16" t="n">
        <f aca="false">C32*(1+D31)</f>
        <v>955.45008</v>
      </c>
    </row>
    <row r="33" customFormat="false" ht="15" hidden="false" customHeight="true" outlineLevel="0" collapsed="false">
      <c r="A33" s="3" t="s">
        <v>142</v>
      </c>
      <c r="B33" s="18" t="n">
        <f aca="false">Forecast!H22+$B$7</f>
        <v>0.635</v>
      </c>
      <c r="C33" s="18" t="n">
        <f aca="false">Forecast!I22+$B$7</f>
        <v>0.63</v>
      </c>
      <c r="D33" s="18" t="n">
        <f aca="false">Forecast!J22+$B$7</f>
        <v>0.625</v>
      </c>
    </row>
    <row r="34" customFormat="false" ht="15" hidden="false" customHeight="true" outlineLevel="0" collapsed="false">
      <c r="A34" s="3" t="s">
        <v>102</v>
      </c>
      <c r="B34" s="16" t="n">
        <f aca="false">B32*(1-B33-Forecast!H23)</f>
        <v>155.844</v>
      </c>
      <c r="C34" s="16" t="n">
        <f aca="false">C32*(1-C33-Forecast!I23)</f>
        <v>173.062656</v>
      </c>
      <c r="D34" s="16" t="n">
        <f aca="false">D32*(1-D33-Forecast!J23)</f>
        <v>190.13456592</v>
      </c>
    </row>
    <row r="35" customFormat="false" ht="15" hidden="false" customHeight="true" outlineLevel="0" collapsed="false">
      <c r="A35" s="3" t="s">
        <v>103</v>
      </c>
      <c r="B35" s="16" t="n">
        <f aca="false">B34-B32*Forecast!H24</f>
        <v>131.4144</v>
      </c>
      <c r="C35" s="16" t="n">
        <f aca="false">C34-C32*Forecast!I24</f>
        <v>147.824352</v>
      </c>
      <c r="D35" s="16" t="n">
        <f aca="false">D34-D32*Forecast!J24</f>
        <v>163.38196368</v>
      </c>
    </row>
    <row r="36" customFormat="false" ht="15" hidden="false" customHeight="true" outlineLevel="0" collapsed="false">
      <c r="A36" s="3" t="s">
        <v>104</v>
      </c>
      <c r="B36" s="16" t="n">
        <f aca="false">B35-Forecast!H25</f>
        <v>113.4144</v>
      </c>
      <c r="C36" s="16" t="n">
        <f aca="false">C35-Forecast!I25</f>
        <v>128.824352</v>
      </c>
      <c r="D36" s="16" t="n">
        <f aca="false">D35-Forecast!J25</f>
        <v>143.38196368</v>
      </c>
    </row>
    <row r="37" customFormat="false" ht="15" hidden="false" customHeight="true" outlineLevel="0" collapsed="false">
      <c r="A37" s="3" t="s">
        <v>105</v>
      </c>
      <c r="B37" s="16" t="n">
        <f aca="false">B36*(1-Forecast!H26)</f>
        <v>85.0608</v>
      </c>
      <c r="C37" s="16" t="n">
        <f aca="false">C36*(1-Forecast!I26)</f>
        <v>96.618264</v>
      </c>
      <c r="D37" s="16" t="n">
        <f aca="false">D36*(1-Forecast!J26)</f>
        <v>107.53647276</v>
      </c>
    </row>
    <row r="38" customFormat="false" ht="15" hidden="false" customHeight="true" outlineLevel="0" collapsed="false">
      <c r="A38" s="19" t="s">
        <v>115</v>
      </c>
      <c r="B38" s="31" t="n">
        <f aca="false">B37+B32*Forecast!H24-B32*Forecast!H27-B32*Forecast!H28</f>
        <v>46.3104</v>
      </c>
      <c r="C38" s="31" t="n">
        <f aca="false">C37+C32*Forecast!I24-C32*Forecast!I27-C32*Forecast!I28</f>
        <v>57.85944</v>
      </c>
      <c r="D38" s="31" t="n">
        <f aca="false">D37+D32*Forecast!J24-D32*Forecast!J27-D32*Forecast!J28</f>
        <v>69.31846956</v>
      </c>
    </row>
    <row r="40" customFormat="false" ht="15" hidden="false" customHeight="true" outlineLevel="0" collapsed="false">
      <c r="A40" s="5" t="s">
        <v>160</v>
      </c>
    </row>
    <row r="41" customFormat="false" ht="30" hidden="false" customHeight="true" outlineLevel="0" collapsed="false">
      <c r="A41" s="32" t="s">
        <v>161</v>
      </c>
      <c r="B41" s="32" t="s">
        <v>162</v>
      </c>
      <c r="C41" s="32" t="s">
        <v>163</v>
      </c>
      <c r="D41" s="32" t="s">
        <v>38</v>
      </c>
      <c r="E41" s="32" t="s">
        <v>164</v>
      </c>
      <c r="F41" s="32" t="s">
        <v>165</v>
      </c>
      <c r="G41" s="32" t="s">
        <v>166</v>
      </c>
      <c r="H41" s="32" t="s">
        <v>167</v>
      </c>
    </row>
    <row r="42" customFormat="false" ht="15" hidden="false" customHeight="true" outlineLevel="0" collapsed="false">
      <c r="A42" s="33" t="s">
        <v>168</v>
      </c>
      <c r="B42" s="11" t="n">
        <f aca="false">D32</f>
        <v>955.45008</v>
      </c>
      <c r="C42" s="11" t="n">
        <f aca="false">D34</f>
        <v>190.13456592</v>
      </c>
      <c r="D42" s="12" t="n">
        <f aca="false">C42/B42</f>
        <v>0.199</v>
      </c>
      <c r="E42" s="11" t="n">
        <f aca="false">D37</f>
        <v>107.53647276</v>
      </c>
      <c r="F42" s="12" t="n">
        <f aca="false">E42/B42</f>
        <v>0.112550592658907</v>
      </c>
      <c r="G42" s="11" t="n">
        <f aca="false">((B38/(1+DCF!$B$4)^1)+(C38/(1+DCF!$B$4)^2)+(D38/(1+DCF!$B$4)^3)+((D38*(1+DCF!$B$5))/(DCF!$B$4-DCF!$B$5))/(1+DCF!$B$4)^3-DCF!$B$6)/DCF!$B$7</f>
        <v>65.2964601390989</v>
      </c>
      <c r="H42" s="12" t="n">
        <f aca="false">G42/$G$43-1</f>
        <v>-0.181606288202711</v>
      </c>
    </row>
    <row r="43" customFormat="false" ht="15" hidden="false" customHeight="true" outlineLevel="0" collapsed="false">
      <c r="A43" s="34" t="s">
        <v>169</v>
      </c>
      <c r="B43" s="35" t="n">
        <f aca="false">D12</f>
        <v>1010.0376</v>
      </c>
      <c r="C43" s="35" t="n">
        <f aca="false">D13</f>
        <v>211.0978584</v>
      </c>
      <c r="D43" s="36" t="n">
        <f aca="false">C43/B43</f>
        <v>0.209</v>
      </c>
      <c r="E43" s="35" t="n">
        <f aca="false">D15</f>
        <v>122.1126042</v>
      </c>
      <c r="F43" s="36" t="n">
        <f aca="false">E43/B43</f>
        <v>0.120899067717875</v>
      </c>
      <c r="G43" s="35" t="n">
        <f aca="false">((B16/(1+DCF!$B$4)^1)+(C16/(1+DCF!$B$4)^2)+(D16/(1+DCF!$B$4)^3)+((D16*(1+DCF!$B$5))/(DCF!$B$4-DCF!$B$5))/(1+DCF!$B$4)^3-DCF!$B$6)/DCF!$B$7</f>
        <v>79.7861215180896</v>
      </c>
      <c r="H43" s="36" t="n">
        <f aca="false">G43/$G$43-1</f>
        <v>0</v>
      </c>
    </row>
    <row r="44" customFormat="false" ht="15" hidden="false" customHeight="true" outlineLevel="0" collapsed="false">
      <c r="A44" s="33" t="s">
        <v>170</v>
      </c>
      <c r="B44" s="11" t="n">
        <f aca="false">D21</f>
        <v>1066.6656</v>
      </c>
      <c r="C44" s="11" t="n">
        <f aca="false">D23</f>
        <v>233.5997664</v>
      </c>
      <c r="D44" s="12" t="n">
        <f aca="false">C44/B44</f>
        <v>0.219</v>
      </c>
      <c r="E44" s="11" t="n">
        <f aca="false">D26</f>
        <v>137.7998472</v>
      </c>
      <c r="F44" s="12" t="n">
        <f aca="false">E44/B44</f>
        <v>0.129187485937486</v>
      </c>
      <c r="G44" s="11" t="n">
        <f aca="false">((B27/(1+DCF!$B$4)^1)+(C27/(1+DCF!$B$4)^2)+(D27/(1+DCF!$B$4)^3)+((D27*(1+DCF!$B$5))/(DCF!$B$4-DCF!$B$5))/(1+DCF!$B$4)^3-DCF!$B$6)/DCF!$B$7</f>
        <v>95.4250054259121</v>
      </c>
      <c r="H44" s="12" t="n">
        <f aca="false">G44/$G$43-1</f>
        <v>0.196010078071996</v>
      </c>
    </row>
    <row r="46" customFormat="false" ht="15" hidden="false" customHeight="true" outlineLevel="0" collapsed="false">
      <c r="A46" s="21" t="s">
        <v>171</v>
      </c>
      <c r="B46" s="21"/>
      <c r="C46" s="21"/>
      <c r="D46" s="21"/>
      <c r="E46" s="21"/>
      <c r="F46" s="21"/>
      <c r="G46" s="21"/>
      <c r="H46" s="21"/>
    </row>
  </sheetData>
  <mergeCells count="2">
    <mergeCell ref="A8:H8"/>
    <mergeCell ref="A46:H4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6" min="2" style="1" width="12"/>
  </cols>
  <sheetData>
    <row r="1" customFormat="false" ht="19.5" hidden="false" customHeight="true" outlineLevel="0" collapsed="false">
      <c r="A1" s="22" t="s">
        <v>172</v>
      </c>
      <c r="B1" s="3"/>
      <c r="C1" s="3"/>
      <c r="D1" s="3"/>
    </row>
    <row r="2" customFormat="false" ht="15" hidden="false" customHeight="true" outlineLevel="0" collapsed="false">
      <c r="A2" s="3"/>
      <c r="B2" s="3"/>
      <c r="C2" s="3"/>
      <c r="D2" s="3"/>
    </row>
    <row r="3" customFormat="false" ht="15" hidden="false" customHeight="true" outlineLevel="0" collapsed="false">
      <c r="A3" s="5" t="s">
        <v>173</v>
      </c>
      <c r="B3" s="3"/>
      <c r="C3" s="3"/>
      <c r="D3" s="3"/>
    </row>
    <row r="4" customFormat="false" ht="15" hidden="false" customHeight="true" outlineLevel="0" collapsed="false">
      <c r="A4" s="3" t="s">
        <v>174</v>
      </c>
      <c r="B4" s="37" t="n">
        <f aca="false">B35</f>
        <v>0.116301030927835</v>
      </c>
      <c r="C4" s="3"/>
      <c r="D4" s="3"/>
    </row>
    <row r="5" customFormat="false" ht="15" hidden="false" customHeight="true" outlineLevel="0" collapsed="false">
      <c r="A5" s="3" t="s">
        <v>175</v>
      </c>
      <c r="B5" s="30" t="n">
        <v>0.04</v>
      </c>
      <c r="C5" s="3"/>
      <c r="D5" s="3"/>
    </row>
    <row r="6" customFormat="false" ht="15" hidden="false" customHeight="true" outlineLevel="0" collapsed="false">
      <c r="A6" s="3" t="s">
        <v>176</v>
      </c>
      <c r="B6" s="16" t="n">
        <f aca="false">'Balance Sheet'!G19</f>
        <v>164</v>
      </c>
      <c r="C6" s="3"/>
      <c r="D6" s="3"/>
    </row>
    <row r="7" customFormat="false" ht="15" hidden="false" customHeight="true" outlineLevel="0" collapsed="false">
      <c r="A7" s="3" t="s">
        <v>177</v>
      </c>
      <c r="B7" s="17" t="n">
        <v>10</v>
      </c>
      <c r="C7" s="3"/>
      <c r="D7" s="3"/>
    </row>
    <row r="8" customFormat="false" ht="15" hidden="false" customHeight="true" outlineLevel="0" collapsed="false">
      <c r="A8" s="3"/>
      <c r="B8" s="3"/>
      <c r="C8" s="3"/>
      <c r="D8" s="3"/>
    </row>
    <row r="9" customFormat="false" ht="15" hidden="false" customHeight="true" outlineLevel="0" collapsed="false">
      <c r="A9" s="3"/>
      <c r="B9" s="3"/>
      <c r="C9" s="3"/>
      <c r="D9" s="3"/>
    </row>
    <row r="10" customFormat="false" ht="15" hidden="false" customHeight="true" outlineLevel="0" collapsed="false">
      <c r="A10" s="3" t="s">
        <v>178</v>
      </c>
      <c r="B10" s="3"/>
      <c r="C10" s="3"/>
      <c r="D10" s="3"/>
    </row>
    <row r="11" customFormat="false" ht="15" hidden="false" customHeight="true" outlineLevel="0" collapsed="false">
      <c r="A11" s="24"/>
      <c r="B11" s="24" t="n">
        <v>2027</v>
      </c>
      <c r="C11" s="24" t="n">
        <v>2028</v>
      </c>
      <c r="D11" s="24" t="n">
        <v>2029</v>
      </c>
    </row>
    <row r="12" customFormat="false" ht="15" hidden="false" customHeight="true" outlineLevel="0" collapsed="false">
      <c r="A12" s="3" t="s">
        <v>179</v>
      </c>
      <c r="B12" s="16" t="n">
        <f aca="false">Forecast!H17</f>
        <v>53.853</v>
      </c>
      <c r="C12" s="16" t="n">
        <f aca="false">Forecast!I17</f>
        <v>67.58175</v>
      </c>
      <c r="D12" s="16" t="n">
        <f aca="false">Forecast!J17</f>
        <v>81.7111002</v>
      </c>
    </row>
    <row r="13" customFormat="false" ht="15" hidden="false" customHeight="true" outlineLevel="0" collapsed="false">
      <c r="A13" s="3" t="s">
        <v>180</v>
      </c>
      <c r="B13" s="38" t="n">
        <f aca="false">1/(1+$B$4)^1</f>
        <v>0.895815709467572</v>
      </c>
      <c r="C13" s="38" t="n">
        <f aca="false">1/(1+$B$4)^2</f>
        <v>0.802485785328889</v>
      </c>
      <c r="D13" s="38" t="n">
        <f aca="false">1/(1+$B$4)^3</f>
        <v>0.71887937312204</v>
      </c>
    </row>
    <row r="14" customFormat="false" ht="15" hidden="false" customHeight="true" outlineLevel="0" collapsed="false">
      <c r="A14" s="3" t="s">
        <v>181</v>
      </c>
      <c r="B14" s="16" t="n">
        <f aca="false">B12*B13</f>
        <v>48.2423634019572</v>
      </c>
      <c r="C14" s="16" t="n">
        <f aca="false">C12*C13</f>
        <v>54.2333937226506</v>
      </c>
      <c r="D14" s="16" t="n">
        <f aca="false">D12*D13</f>
        <v>58.7404244888882</v>
      </c>
    </row>
    <row r="15" customFormat="false" ht="15" hidden="false" customHeight="true" outlineLevel="0" collapsed="false">
      <c r="A15" s="3"/>
      <c r="B15" s="3"/>
      <c r="C15" s="3"/>
      <c r="D15" s="3"/>
    </row>
    <row r="16" customFormat="false" ht="15" hidden="false" customHeight="true" outlineLevel="0" collapsed="false">
      <c r="A16" s="3" t="s">
        <v>182</v>
      </c>
      <c r="B16" s="16" t="n">
        <f aca="false">D12*(1+$B$5)/($B$4-$B$5)</f>
        <v>1113.74044589742</v>
      </c>
      <c r="C16" s="3"/>
      <c r="D16" s="3"/>
    </row>
    <row r="17" customFormat="false" ht="15" hidden="false" customHeight="true" outlineLevel="0" collapsed="false">
      <c r="A17" s="3" t="s">
        <v>183</v>
      </c>
      <c r="B17" s="16" t="n">
        <f aca="false">B16*D13</f>
        <v>800.6450335674</v>
      </c>
      <c r="C17" s="3"/>
      <c r="D17" s="3"/>
    </row>
    <row r="18" customFormat="false" ht="15" hidden="false" customHeight="true" outlineLevel="0" collapsed="false">
      <c r="A18" s="3" t="s">
        <v>184</v>
      </c>
      <c r="B18" s="16" t="n">
        <f aca="false">SUM(B14:D14)+B17</f>
        <v>961.861215180896</v>
      </c>
      <c r="C18" s="3"/>
      <c r="D18" s="3"/>
    </row>
    <row r="19" customFormat="false" ht="15" hidden="false" customHeight="true" outlineLevel="0" collapsed="false">
      <c r="A19" s="3" t="s">
        <v>185</v>
      </c>
      <c r="B19" s="16" t="n">
        <f aca="false">B6</f>
        <v>164</v>
      </c>
      <c r="C19" s="3"/>
      <c r="D19" s="3"/>
    </row>
    <row r="20" customFormat="false" ht="15" hidden="false" customHeight="true" outlineLevel="0" collapsed="false">
      <c r="A20" s="3" t="s">
        <v>186</v>
      </c>
      <c r="B20" s="16" t="n">
        <f aca="false">B18-B19</f>
        <v>797.861215180896</v>
      </c>
      <c r="C20" s="3"/>
      <c r="D20" s="3"/>
    </row>
    <row r="21" customFormat="false" ht="15" hidden="false" customHeight="true" outlineLevel="0" collapsed="false">
      <c r="A21" s="3" t="s">
        <v>187</v>
      </c>
      <c r="B21" s="16" t="n">
        <f aca="false">B20/B7</f>
        <v>79.7861215180896</v>
      </c>
      <c r="C21" s="3"/>
      <c r="D21" s="3"/>
    </row>
    <row r="23" customFormat="false" ht="15" hidden="false" customHeight="true" outlineLevel="0" collapsed="false">
      <c r="A23" s="5" t="s">
        <v>188</v>
      </c>
    </row>
    <row r="24" customFormat="false" ht="15" hidden="false" customHeight="true" outlineLevel="0" collapsed="false">
      <c r="A24" s="3" t="s">
        <v>189</v>
      </c>
      <c r="B24" s="30" t="n">
        <v>0.07</v>
      </c>
    </row>
    <row r="25" customFormat="false" ht="15" hidden="false" customHeight="true" outlineLevel="0" collapsed="false">
      <c r="A25" s="3" t="s">
        <v>190</v>
      </c>
      <c r="B25" s="39" t="n">
        <v>1.1</v>
      </c>
    </row>
    <row r="26" customFormat="false" ht="15" hidden="false" customHeight="true" outlineLevel="0" collapsed="false">
      <c r="A26" s="3" t="s">
        <v>191</v>
      </c>
      <c r="B26" s="30" t="n">
        <v>0.06</v>
      </c>
    </row>
    <row r="27" customFormat="false" ht="15" hidden="false" customHeight="true" outlineLevel="0" collapsed="false">
      <c r="A27" s="3" t="s">
        <v>192</v>
      </c>
      <c r="B27" s="18" t="n">
        <f aca="false">B24+B25*B26</f>
        <v>0.136</v>
      </c>
    </row>
    <row r="28" customFormat="false" ht="15" hidden="false" customHeight="true" outlineLevel="0" collapsed="false">
      <c r="A28" s="3" t="s">
        <v>193</v>
      </c>
      <c r="B28" s="18" t="n">
        <f aca="false">'Income Statement'!G11/('Balance Sheet'!G12+'Balance Sheet'!G13)</f>
        <v>0.103658536585366</v>
      </c>
    </row>
    <row r="29" customFormat="false" ht="15" hidden="false" customHeight="true" outlineLevel="0" collapsed="false">
      <c r="A29" s="3" t="s">
        <v>194</v>
      </c>
      <c r="B29" s="18" t="n">
        <f aca="false">Forecast!H26</f>
        <v>0.25</v>
      </c>
    </row>
    <row r="30" customFormat="false" ht="15" hidden="false" customHeight="true" outlineLevel="0" collapsed="false">
      <c r="A30" s="3" t="s">
        <v>195</v>
      </c>
      <c r="B30" s="18" t="n">
        <f aca="false">B28*(1-B29)</f>
        <v>0.0777439024390244</v>
      </c>
    </row>
    <row r="31" customFormat="false" ht="15" hidden="false" customHeight="true" outlineLevel="0" collapsed="false">
      <c r="A31" s="3" t="s">
        <v>196</v>
      </c>
      <c r="B31" s="16" t="n">
        <f aca="false">'Balance Sheet'!G17</f>
        <v>321</v>
      </c>
    </row>
    <row r="32" customFormat="false" ht="15" hidden="false" customHeight="true" outlineLevel="0" collapsed="false">
      <c r="A32" s="3" t="s">
        <v>197</v>
      </c>
      <c r="B32" s="16" t="n">
        <f aca="false">'Balance Sheet'!G12+'Balance Sheet'!G13</f>
        <v>164</v>
      </c>
    </row>
    <row r="33" customFormat="false" ht="15" hidden="false" customHeight="true" outlineLevel="0" collapsed="false">
      <c r="A33" s="3" t="s">
        <v>198</v>
      </c>
      <c r="B33" s="18" t="n">
        <f aca="false">B31/(B31+B32)</f>
        <v>0.661855670103093</v>
      </c>
    </row>
    <row r="34" customFormat="false" ht="15" hidden="false" customHeight="true" outlineLevel="0" collapsed="false">
      <c r="A34" s="3" t="s">
        <v>199</v>
      </c>
      <c r="B34" s="18" t="n">
        <f aca="false">B32/(B31+B32)</f>
        <v>0.338144329896907</v>
      </c>
    </row>
    <row r="35" customFormat="false" ht="15" hidden="false" customHeight="true" outlineLevel="0" collapsed="false">
      <c r="A35" s="19" t="s">
        <v>200</v>
      </c>
      <c r="B35" s="40" t="n">
        <f aca="false">B33*B27+B34*B30</f>
        <v>0.116301030927835</v>
      </c>
    </row>
    <row r="38" customFormat="false" ht="15" hidden="false" customHeight="true" outlineLevel="0" collapsed="false">
      <c r="A38" s="5" t="s">
        <v>201</v>
      </c>
    </row>
    <row r="39" customFormat="false" ht="15" hidden="false" customHeight="true" outlineLevel="0" collapsed="false">
      <c r="A39" s="41" t="s">
        <v>202</v>
      </c>
    </row>
    <row r="40" customFormat="false" ht="15" hidden="false" customHeight="true" outlineLevel="0" collapsed="false">
      <c r="A40" s="42" t="s">
        <v>203</v>
      </c>
      <c r="B40" s="43" t="n">
        <f aca="false">$B$5-0.01</f>
        <v>0.03</v>
      </c>
      <c r="C40" s="43" t="n">
        <f aca="false">$B$5-0.005</f>
        <v>0.035</v>
      </c>
      <c r="D40" s="43" t="n">
        <f aca="false">$B$5</f>
        <v>0.04</v>
      </c>
      <c r="E40" s="43" t="n">
        <f aca="false">$B$5+0.005</f>
        <v>0.045</v>
      </c>
      <c r="F40" s="43" t="n">
        <f aca="false">$B$5+0.01</f>
        <v>0.05</v>
      </c>
    </row>
    <row r="41" customFormat="false" ht="15" hidden="false" customHeight="true" outlineLevel="0" collapsed="false">
      <c r="A41" s="43" t="n">
        <f aca="false">$B$4-0.01</f>
        <v>0.106301030927835</v>
      </c>
      <c r="B41" s="44" t="n">
        <f aca="false">(($B$12/(1+$A41)^1)+($C$12/(1+$A41)^2)+($D$12/(1+$A41)^3)+(($D$12*(1+B$40))/($A41-B$40))/(1+$A41)^3-$B$6)/$B$7</f>
        <v>81.4888573330526</v>
      </c>
      <c r="C41" s="44" t="n">
        <f aca="false">(($B$12/(1+$A41)^1)+($C$12/(1+$A41)^2)+($D$12/(1+$A41)^3)+(($D$12*(1+C$40))/($A41-C$40))/(1+$A41)^3-$B$6)/$B$7</f>
        <v>87.6247564854257</v>
      </c>
      <c r="D41" s="44" t="n">
        <f aca="false">(($B$12/(1+$A41)^1)+($C$12/(1+$A41)^2)+($D$12/(1+$A41)^3)+(($D$12*(1+D$40))/($A41-D$40))/(1+$A41)^3-$B$6)/$B$7</f>
        <v>94.6861162326804</v>
      </c>
      <c r="E41" s="44" t="n">
        <f aca="false">(($B$12/(1+$A41)^1)+($C$12/(1+$A41)^2)+($D$12/(1+$A41)^3)+(($D$12*(1+E$40))/($A41-E$40))/(1+$A41)^3-$B$6)/$B$7</f>
        <v>102.89939131323</v>
      </c>
      <c r="F41" s="44" t="n">
        <f aca="false">(($B$12/(1+$A41)^1)+($C$12/(1+$A41)^2)+($D$12/(1+$A41)^3)+(($D$12*(1+F$40))/($A41-F$40))/(1+$A41)^3-$B$6)/$B$7</f>
        <v>112.571480725452</v>
      </c>
    </row>
    <row r="42" customFormat="false" ht="15" hidden="false" customHeight="true" outlineLevel="0" collapsed="false">
      <c r="A42" s="43" t="n">
        <f aca="false">$B$4-0.005</f>
        <v>0.111301030927835</v>
      </c>
      <c r="B42" s="44" t="n">
        <f aca="false">(($B$12/(1+$A42)^1)+($C$12/(1+$A42)^2)+($D$12/(1+$A42)^3)+(($D$12*(1+B$40))/($A42-B$40))/(1+$A42)^3-$B$6)/$B$7</f>
        <v>75.2989206436063</v>
      </c>
      <c r="C42" s="44" t="n">
        <f aca="false">(($B$12/(1+$A42)^1)+($C$12/(1+$A42)^2)+($D$12/(1+$A42)^3)+(($D$12*(1+C$40))/($A42-C$40))/(1+$A42)^3-$B$6)/$B$7</f>
        <v>80.6317927614657</v>
      </c>
      <c r="D42" s="44" t="n">
        <f aca="false">(($B$12/(1+$A42)^1)+($C$12/(1+$A42)^2)+($D$12/(1+$A42)^3)+(($D$12*(1+D$40))/($A42-D$40))/(1+$A42)^3-$B$6)/$B$7</f>
        <v>86.7126024685105</v>
      </c>
      <c r="E42" s="44" t="n">
        <f aca="false">(($B$12/(1+$A42)^1)+($C$12/(1+$A42)^2)+($D$12/(1+$A42)^3)+(($D$12*(1+E$40))/($A42-E$40))/(1+$A42)^3-$B$6)/$B$7</f>
        <v>93.7105637826944</v>
      </c>
      <c r="F42" s="44" t="n">
        <f aca="false">(($B$12/(1+$A42)^1)+($C$12/(1+$A42)^2)+($D$12/(1+$A42)^3)+(($D$12*(1+F$40))/($A42-F$40))/(1+$A42)^3-$B$6)/$B$7</f>
        <v>101.850098282233</v>
      </c>
    </row>
    <row r="43" customFormat="false" ht="15" hidden="false" customHeight="true" outlineLevel="0" collapsed="false">
      <c r="A43" s="43" t="n">
        <f aca="false">$B$4</f>
        <v>0.116301030927835</v>
      </c>
      <c r="B43" s="44" t="n">
        <f aca="false">(($B$12/(1+$A43)^1)+($C$12/(1+$A43)^2)+($D$12/(1+$A43)^3)+(($D$12*(1+B$40))/($A43-B$40))/(1+$A43)^3-$B$6)/$B$7</f>
        <v>69.8281239273667</v>
      </c>
      <c r="C43" s="44" t="n">
        <f aca="false">(($B$12/(1+$A43)^1)+($C$12/(1+$A43)^2)+($D$12/(1+$A43)^3)+(($D$12*(1+C$40))/($A43-C$40))/(1+$A43)^3-$B$6)/$B$7</f>
        <v>74.5009151175761</v>
      </c>
      <c r="D43" s="45" t="n">
        <f aca="false">(($B$12/(1+$A43)^1)+($C$12/(1+$A43)^2)+($D$12/(1+$A43)^3)+(($D$12*(1+D$40))/($A43-D$40))/(1+$A43)^3-$B$6)/$B$7</f>
        <v>79.7861215180896</v>
      </c>
      <c r="E43" s="44" t="n">
        <f aca="false">(($B$12/(1+$A43)^1)+($C$12/(1+$A43)^2)+($D$12/(1+$A43)^3)+(($D$12*(1+E$40))/($A43-E$40))/(1+$A43)^3-$B$6)/$B$7</f>
        <v>85.8125803705996</v>
      </c>
      <c r="F43" s="44" t="n">
        <f aca="false">(($B$12/(1+$A43)^1)+($C$12/(1+$A43)^2)+($D$12/(1+$A43)^3)+(($D$12*(1+F$40))/($A43-F$40))/(1+$A43)^3-$B$6)/$B$7</f>
        <v>92.7479932421007</v>
      </c>
    </row>
    <row r="44" customFormat="false" ht="15" hidden="false" customHeight="true" outlineLevel="0" collapsed="false">
      <c r="A44" s="43" t="n">
        <f aca="false">$B$4+0.005</f>
        <v>0.121301030927835</v>
      </c>
      <c r="B44" s="44" t="n">
        <f aca="false">(($B$12/(1+$A44)^1)+($C$12/(1+$A44)^2)+($D$12/(1+$A44)^3)+(($D$12*(1+B$40))/($A44-B$40))/(1+$A44)^3-$B$6)/$B$7</f>
        <v>64.9582888017734</v>
      </c>
      <c r="C44" s="44" t="n">
        <f aca="false">(($B$12/(1+$A44)^1)+($C$12/(1+$A44)^2)+($D$12/(1+$A44)^3)+(($D$12*(1+C$40))/($A44-C$40))/(1+$A44)^3-$B$6)/$B$7</f>
        <v>69.0822536465563</v>
      </c>
      <c r="D44" s="44" t="n">
        <f aca="false">(($B$12/(1+$A44)^1)+($C$12/(1+$A44)^2)+($D$12/(1+$A44)^3)+(($D$12*(1+D$40))/($A44-D$40))/(1+$A44)^3-$B$6)/$B$7</f>
        <v>73.7134648076181</v>
      </c>
      <c r="E44" s="44" t="n">
        <f aca="false">(($B$12/(1+$A44)^1)+($C$12/(1+$A44)^2)+($D$12/(1+$A44)^3)+(($D$12*(1+E$40))/($A44-E$40))/(1+$A44)^3-$B$6)/$B$7</f>
        <v>78.9516417075102</v>
      </c>
      <c r="F44" s="44" t="n">
        <f aca="false">(($B$12/(1+$A44)^1)+($C$12/(1+$A44)^2)+($D$12/(1+$A44)^3)+(($D$12*(1+F$40))/($A44-F$40))/(1+$A44)^3-$B$6)/$B$7</f>
        <v>84.9244751518768</v>
      </c>
    </row>
    <row r="45" customFormat="false" ht="15" hidden="false" customHeight="true" outlineLevel="0" collapsed="false">
      <c r="A45" s="43" t="n">
        <f aca="false">$B$4+0.01</f>
        <v>0.126301030927835</v>
      </c>
      <c r="B45" s="44" t="n">
        <f aca="false">(($B$12/(1+$A45)^1)+($C$12/(1+$A45)^2)+($D$12/(1+$A45)^3)+(($D$12*(1+B$40))/($A45-B$40))/(1+$A45)^3-$B$6)/$B$7</f>
        <v>60.5957810145199</v>
      </c>
      <c r="C45" s="44" t="n">
        <f aca="false">(($B$12/(1+$A45)^1)+($C$12/(1+$A45)^2)+($D$12/(1+$A45)^3)+(($D$12*(1+C$40))/($A45-C$40))/(1+$A45)^3-$B$6)/$B$7</f>
        <v>64.2587688919256</v>
      </c>
      <c r="D45" s="44" t="n">
        <f aca="false">(($B$12/(1+$A45)^1)+($C$12/(1+$A45)^2)+($D$12/(1+$A45)^3)+(($D$12*(1+D$40))/($A45-D$40))/(1+$A45)^3-$B$6)/$B$7</f>
        <v>68.3461998887268</v>
      </c>
      <c r="E45" s="44" t="n">
        <f aca="false">(($B$12/(1+$A45)^1)+($C$12/(1+$A45)^2)+($D$12/(1+$A45)^3)+(($D$12*(1+E$40))/($A45-E$40))/(1+$A45)^3-$B$6)/$B$7</f>
        <v>72.93638355055</v>
      </c>
      <c r="F45" s="44" t="n">
        <f aca="false">(($B$12/(1+$A45)^1)+($C$12/(1+$A45)^2)+($D$12/(1+$A45)^3)+(($D$12*(1+F$40))/($A45-F$40))/(1+$A45)^3-$B$6)/$B$7</f>
        <v>78.1281558942045</v>
      </c>
    </row>
    <row r="47" customFormat="false" ht="15" hidden="false" customHeight="true" outlineLevel="0" collapsed="false">
      <c r="A47" s="41" t="s">
        <v>204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4"/>
    <col collapsed="false" customWidth="true" hidden="false" outlineLevel="0" max="9" min="4" style="1" width="15"/>
  </cols>
  <sheetData>
    <row r="1" customFormat="false" ht="21.75" hidden="false" customHeight="true" outlineLevel="0" collapsed="false">
      <c r="A1" s="46" t="s">
        <v>205</v>
      </c>
      <c r="B1" s="3"/>
    </row>
    <row r="2" customFormat="false" ht="15" hidden="false" customHeight="true" outlineLevel="0" collapsed="false">
      <c r="A2" s="3"/>
      <c r="B2" s="3"/>
    </row>
    <row r="3" customFormat="false" ht="15.75" hidden="false" customHeight="true" outlineLevel="0" collapsed="false">
      <c r="A3" s="47" t="s">
        <v>206</v>
      </c>
      <c r="B3" s="3"/>
    </row>
    <row r="4" customFormat="false" ht="15" hidden="false" customHeight="true" outlineLevel="0" collapsed="false">
      <c r="A4" s="3"/>
      <c r="B4" s="3"/>
    </row>
    <row r="5" customFormat="false" ht="15" hidden="false" customHeight="true" outlineLevel="0" collapsed="false">
      <c r="A5" s="6" t="s">
        <v>207</v>
      </c>
      <c r="B5" s="48" t="n">
        <f aca="false">'Income Statement'!G4</f>
        <v>780</v>
      </c>
    </row>
    <row r="6" customFormat="false" ht="15" hidden="false" customHeight="true" outlineLevel="0" collapsed="false">
      <c r="A6" s="6" t="s">
        <v>208</v>
      </c>
      <c r="B6" s="48" t="n">
        <f aca="false">'Income Statement'!G8</f>
        <v>150</v>
      </c>
    </row>
    <row r="7" customFormat="false" ht="15" hidden="false" customHeight="true" outlineLevel="0" collapsed="false">
      <c r="A7" s="6" t="s">
        <v>209</v>
      </c>
      <c r="B7" s="48" t="n">
        <f aca="false">'Income Statement'!G14</f>
        <v>85</v>
      </c>
    </row>
    <row r="8" customFormat="false" ht="15" hidden="false" customHeight="true" outlineLevel="0" collapsed="false">
      <c r="A8" s="6" t="s">
        <v>210</v>
      </c>
      <c r="B8" s="49" t="n">
        <f aca="false">'Income Statement'!G16</f>
        <v>0.192307692307692</v>
      </c>
    </row>
    <row r="9" customFormat="false" ht="15" hidden="false" customHeight="true" outlineLevel="0" collapsed="false">
      <c r="A9" s="6" t="s">
        <v>211</v>
      </c>
      <c r="B9" s="49" t="n">
        <f aca="false">'Income Statement'!G18</f>
        <v>0.108974358974359</v>
      </c>
    </row>
    <row r="10" customFormat="false" ht="15" hidden="false" customHeight="true" outlineLevel="0" collapsed="false">
      <c r="A10" s="6" t="s">
        <v>212</v>
      </c>
      <c r="B10" s="50" t="n">
        <f aca="false">Ratios!G10</f>
        <v>0.613707165109034</v>
      </c>
    </row>
    <row r="11" customFormat="false" ht="15" hidden="false" customHeight="true" outlineLevel="0" collapsed="false">
      <c r="A11" s="6" t="s">
        <v>213</v>
      </c>
      <c r="B11" s="50" t="n">
        <f aca="false">'Working Capital'!G7</f>
        <v>84.5798129466162</v>
      </c>
    </row>
    <row r="12" customFormat="false" ht="15" hidden="false" customHeight="true" outlineLevel="0" collapsed="false">
      <c r="A12" s="6" t="s">
        <v>214</v>
      </c>
      <c r="B12" s="48" t="n">
        <f aca="false">DCF!B20</f>
        <v>797.861215180896</v>
      </c>
    </row>
    <row r="13" customFormat="false" ht="15" hidden="false" customHeight="true" outlineLevel="0" collapsed="false">
      <c r="A13" s="3"/>
      <c r="B13" s="16"/>
    </row>
    <row r="14" customFormat="false" ht="15" hidden="false" customHeight="true" outlineLevel="0" collapsed="false">
      <c r="A14" s="6" t="s">
        <v>215</v>
      </c>
      <c r="B14" s="48" t="n">
        <f aca="false">DCF!B21</f>
        <v>79.7861215180896</v>
      </c>
    </row>
    <row r="15" customFormat="false" ht="15" hidden="false" customHeight="true" outlineLevel="0" collapsed="false">
      <c r="A15" s="6" t="s">
        <v>216</v>
      </c>
      <c r="B15" s="51" t="str">
        <f aca="false">"₹"&amp;TEXT('Scenario Analysis'!G42,"0.0")&amp;"  /  ₹"&amp;TEXT('Scenario Analysis'!G44,"0.0")</f>
        <v>₹65.3  /  ₹95.4</v>
      </c>
    </row>
    <row r="16" customFormat="false" ht="15" hidden="false" customHeight="true" outlineLevel="0" collapsed="false">
      <c r="A16" s="6" t="s">
        <v>62</v>
      </c>
      <c r="B16" s="51" t="str">
        <f aca="false">'Executive Summary'!B36</f>
        <v>HOLD</v>
      </c>
    </row>
    <row r="17" customFormat="false" ht="15" hidden="false" customHeight="true" outlineLevel="0" collapsed="false">
      <c r="A17" s="6" t="s">
        <v>217</v>
      </c>
      <c r="B17" s="48" t="n">
        <f aca="false">Forecast!J4</f>
        <v>1010.0376</v>
      </c>
    </row>
    <row r="18" customFormat="false" ht="15" hidden="false" customHeight="true" outlineLevel="0" collapsed="false">
      <c r="A18" s="6" t="s">
        <v>218</v>
      </c>
      <c r="B18" s="49" t="n">
        <f aca="false">Forecast!J9/Forecast!J4</f>
        <v>0.209</v>
      </c>
    </row>
    <row r="100" customFormat="false" ht="15" hidden="true" customHeight="true" outlineLevel="0" collapsed="false"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2026-09-03T16:30:33Z</dcterms:created>
  <dc:creator>openpyxl</dc:creator>
  <dc:description/>
  <dc:language>en-US</dc:language>
  <cp:lastModifiedBy/>
  <dcterms:modified xsi:type="dcterms:W3CDTF">2026-09-04T11:41:34Z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